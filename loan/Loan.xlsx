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Copy of Sheet2" sheetId="2" r:id="rId6"/>
  </sheets>
  <definedNames/>
  <calcPr/>
</workbook>
</file>

<file path=xl/sharedStrings.xml><?xml version="1.0" encoding="utf-8"?>
<sst xmlns="http://schemas.openxmlformats.org/spreadsheetml/2006/main" count="556" uniqueCount="148">
  <si>
    <t>Input</t>
  </si>
  <si>
    <t>% for personal loan</t>
  </si>
  <si>
    <t>Option 1 only housing</t>
  </si>
  <si>
    <t>Option 2 both housing &amp; personal</t>
  </si>
  <si>
    <t>Years personal</t>
  </si>
  <si>
    <t>Loan amount</t>
  </si>
  <si>
    <t>Personal loan</t>
  </si>
  <si>
    <t>% for Housing loan</t>
  </si>
  <si>
    <t xml:space="preserve">Bank amount </t>
  </si>
  <si>
    <t>Amount</t>
  </si>
  <si>
    <t>Years Housing</t>
  </si>
  <si>
    <t>Loan net</t>
  </si>
  <si>
    <t>Bank amont</t>
  </si>
  <si>
    <t>Salary</t>
  </si>
  <si>
    <t>MRC</t>
  </si>
  <si>
    <t>MRC Personal</t>
  </si>
  <si>
    <t>Apartement Price</t>
  </si>
  <si>
    <t>First Dep</t>
  </si>
  <si>
    <t xml:space="preserve">Net salary </t>
  </si>
  <si>
    <t xml:space="preserve">Sales Commission </t>
  </si>
  <si>
    <t>Bank fees</t>
  </si>
  <si>
    <t>Amount needed before Loan</t>
  </si>
  <si>
    <t>MRC Housing</t>
  </si>
  <si>
    <t>With tax</t>
  </si>
  <si>
    <t>Eskan support</t>
  </si>
  <si>
    <t>MRC for 5 Years</t>
  </si>
  <si>
    <t>Loan net housing + Pers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</si>
  <si>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</si>
  <si>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</si>
  <si>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</si>
  <si>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</si>
  <si>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</si>
  <si>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</si>
  <si>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</si>
  <si>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</si>
  <si>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</si>
  <si>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</si>
  <si>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</si>
  <si>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</si>
  <si>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</si>
  <si>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</si>
  <si>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</si>
  <si>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</si>
  <si>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</si>
  <si>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</si>
  <si>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</si>
  <si>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</si>
  <si>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</si>
  <si>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</si>
  <si>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</si>
  <si>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</si>
  <si>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</si>
  <si>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</si>
  <si>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</si>
  <si>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</si>
  <si>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</si>
  <si>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</si>
  <si>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</si>
  <si>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</si>
  <si>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</si>
  <si>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</si>
  <si>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</si>
  <si>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</si>
  <si>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</si>
  <si>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</si>
  <si>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</si>
  <si>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</si>
  <si>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</si>
  <si>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</si>
  <si>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</si>
  <si>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</si>
  <si>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</si>
  <si>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</si>
  <si>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</si>
  <si>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</si>
  <si>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</si>
  <si>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</si>
  <si>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</si>
  <si>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</si>
  <si>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</si>
  <si>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</si>
  <si>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</si>
  <si>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</si>
  <si>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</si>
  <si>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</si>
  <si>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</si>
  <si>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</si>
  <si>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Month 61</t>
  </si>
  <si>
    <t>Month 62</t>
  </si>
  <si>
    <t>Month 63</t>
  </si>
  <si>
    <t>Month 64</t>
  </si>
  <si>
    <t>Month 65</t>
  </si>
  <si>
    <t>Month 66</t>
  </si>
  <si>
    <t>Month 67</t>
  </si>
  <si>
    <t>Month 68</t>
  </si>
  <si>
    <t>Month 69</t>
  </si>
  <si>
    <t>Month 70</t>
  </si>
  <si>
    <t>Month 71</t>
  </si>
  <si>
    <t>Month 72</t>
  </si>
  <si>
    <t>Month 73</t>
  </si>
  <si>
    <t>Month 74</t>
  </si>
  <si>
    <t>Month 75</t>
  </si>
  <si>
    <t>Month 76</t>
  </si>
  <si>
    <t>Month 77</t>
  </si>
  <si>
    <t>Month 78</t>
  </si>
  <si>
    <t>Month 79</t>
  </si>
  <si>
    <t>Month 80</t>
  </si>
  <si>
    <t>Month 81</t>
  </si>
  <si>
    <t>Month 82</t>
  </si>
  <si>
    <t>Month 83</t>
  </si>
  <si>
    <t>Month 84</t>
  </si>
  <si>
    <t>Month 85</t>
  </si>
  <si>
    <t>Month 86</t>
  </si>
  <si>
    <t>Month 87</t>
  </si>
  <si>
    <t>Month 88</t>
  </si>
  <si>
    <t>Month 89</t>
  </si>
  <si>
    <t>Month 90</t>
  </si>
  <si>
    <t>Month 91</t>
  </si>
  <si>
    <t>Month 92</t>
  </si>
  <si>
    <t>Month 93</t>
  </si>
  <si>
    <t>Month 94</t>
  </si>
  <si>
    <t>Month 95</t>
  </si>
  <si>
    <t>Month 96</t>
  </si>
  <si>
    <t>Month 97</t>
  </si>
  <si>
    <t>Month 98</t>
  </si>
  <si>
    <t>Month 99</t>
  </si>
  <si>
    <t>Month 100</t>
  </si>
  <si>
    <t>Month 101</t>
  </si>
  <si>
    <t>Month 102</t>
  </si>
  <si>
    <t>Month 103</t>
  </si>
  <si>
    <t>Month 104</t>
  </si>
  <si>
    <t>Month 105</t>
  </si>
  <si>
    <t>Month 106</t>
  </si>
  <si>
    <t>Month 107</t>
  </si>
  <si>
    <t>Month 108</t>
  </si>
  <si>
    <t>Month 109</t>
  </si>
  <si>
    <t>Month 110</t>
  </si>
  <si>
    <t>Month 111</t>
  </si>
  <si>
    <t>Month 112</t>
  </si>
  <si>
    <t>Month 113</t>
  </si>
  <si>
    <t>Month 114</t>
  </si>
  <si>
    <t>Month 115</t>
  </si>
  <si>
    <t>Month 116</t>
  </si>
  <si>
    <t>Month 117</t>
  </si>
  <si>
    <t>Month 118</t>
  </si>
  <si>
    <t>Month 119</t>
  </si>
  <si>
    <t>Month 120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</si>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</sst>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3" xfId="0" applyFont="1" applyNumberFormat="1"/>
    <xf borderId="0" fillId="0" fontId="1" numFmtId="164" xfId="0" applyFont="1" applyNumberFormat="1"/>
    <xf borderId="0" fillId="0" fontId="1" numFmtId="3" xfId="0" applyAlignment="1" applyFont="1" applyNumberFormat="1">
      <alignment readingOrder="0"/>
    </xf>
    <xf borderId="0" fillId="0" fontId="1" numFmtId="0" xfId="0" applyFont="1"/>
    <xf borderId="0" fillId="3" fontId="2" numFmtId="164" xfId="0" applyFill="1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5" max="5" width="22.13"/>
    <col customWidth="1" min="9" max="9" width="25.75"/>
  </cols>
  <sheetData>
    <row r="2">
      <c r="A2" s="1" t="s">
        <v>0</v>
      </c>
    </row>
    <row r="4">
      <c r="A4" s="1" t="s">
        <v>1</v>
      </c>
      <c r="B4" s="2">
        <v>0.028</v>
      </c>
      <c r="E4" s="3" t="s">
        <v>2</v>
      </c>
      <c r="I4" s="3" t="s">
        <v>3</v>
      </c>
    </row>
    <row r="5">
      <c r="A5" s="1" t="s">
        <v>4</v>
      </c>
      <c r="B5" s="1">
        <v>5.0</v>
      </c>
      <c r="E5" s="1" t="s">
        <v>5</v>
      </c>
      <c r="F5" s="4">
        <f>B10-B11</f>
        <v>1305000</v>
      </c>
      <c r="I5" s="1" t="s">
        <v>6</v>
      </c>
    </row>
    <row r="6">
      <c r="A6" s="1" t="s">
        <v>7</v>
      </c>
      <c r="B6" s="2">
        <v>0.0389</v>
      </c>
      <c r="E6" s="1" t="s">
        <v>8</v>
      </c>
      <c r="F6" s="5">
        <f>F5*B7*B6</f>
        <v>1015290</v>
      </c>
      <c r="I6" s="1" t="s">
        <v>9</v>
      </c>
      <c r="J6" s="4">
        <f>(B8/3)*B5*12</f>
        <v>600000</v>
      </c>
    </row>
    <row r="7">
      <c r="A7" s="1" t="s">
        <v>10</v>
      </c>
      <c r="B7" s="1">
        <v>20.0</v>
      </c>
      <c r="E7" s="1" t="s">
        <v>11</v>
      </c>
      <c r="F7" s="4">
        <f>SUM(F5:F6)</f>
        <v>2320290</v>
      </c>
      <c r="I7" s="1" t="s">
        <v>12</v>
      </c>
      <c r="J7" s="4">
        <f>J6*B4*B5</f>
        <v>84000</v>
      </c>
      <c r="K7" s="4">
        <f>J6-J7</f>
        <v>516000</v>
      </c>
    </row>
    <row r="8">
      <c r="A8" s="1" t="s">
        <v>13</v>
      </c>
      <c r="B8" s="6">
        <v>30000.0</v>
      </c>
      <c r="E8" s="1" t="s">
        <v>14</v>
      </c>
      <c r="F8" s="5">
        <f>F7/B7/12</f>
        <v>9667.875</v>
      </c>
      <c r="I8" s="1" t="s">
        <v>11</v>
      </c>
      <c r="J8" s="4">
        <f>J6</f>
        <v>600000</v>
      </c>
    </row>
    <row r="9">
      <c r="I9" s="1" t="s">
        <v>15</v>
      </c>
      <c r="J9" s="4">
        <f>J8/B5/12</f>
        <v>10000</v>
      </c>
    </row>
    <row r="10">
      <c r="A10" s="1" t="s">
        <v>16</v>
      </c>
      <c r="B10" s="6">
        <v>1450000.0</v>
      </c>
      <c r="F10" s="7" t="b">
        <f>IF(F8/B8&lt;=0.65,True,False)</f>
        <v>1</v>
      </c>
      <c r="I10" s="1" t="s">
        <v>17</v>
      </c>
      <c r="J10" s="4">
        <f>(J8-J7)+100000</f>
        <v>616000</v>
      </c>
    </row>
    <row r="11">
      <c r="A11" s="1" t="s">
        <v>17</v>
      </c>
      <c r="B11" s="7">
        <f>B10*10%</f>
        <v>145000</v>
      </c>
      <c r="E11" s="1" t="s">
        <v>18</v>
      </c>
      <c r="F11" s="5">
        <f>B8-F8</f>
        <v>20332.125</v>
      </c>
      <c r="I11" s="1" t="s">
        <v>5</v>
      </c>
      <c r="J11" s="4">
        <f>B10-J10</f>
        <v>834000</v>
      </c>
    </row>
    <row r="12">
      <c r="E12" s="1" t="s">
        <v>19</v>
      </c>
      <c r="F12" s="5">
        <f>B10*2.5%</f>
        <v>36250</v>
      </c>
      <c r="I12" s="1" t="s">
        <v>8</v>
      </c>
      <c r="J12" s="5">
        <f>J11*B7*B6</f>
        <v>648852</v>
      </c>
    </row>
    <row r="13">
      <c r="E13" s="1" t="s">
        <v>20</v>
      </c>
      <c r="F13" s="6">
        <v>8000.0</v>
      </c>
      <c r="I13" s="1" t="s">
        <v>11</v>
      </c>
      <c r="J13" s="6">
        <f>SUM(J11:J12)</f>
        <v>1482852</v>
      </c>
    </row>
    <row r="14">
      <c r="E14" s="1" t="s">
        <v>21</v>
      </c>
      <c r="F14" s="5">
        <f>SUM(F12:F13,B11)</f>
        <v>189250</v>
      </c>
      <c r="I14" s="1" t="s">
        <v>22</v>
      </c>
      <c r="J14" s="5">
        <f>J13/B7/12</f>
        <v>6178.55</v>
      </c>
    </row>
    <row r="15">
      <c r="E15" s="1" t="s">
        <v>23</v>
      </c>
      <c r="F15" s="5">
        <f>F14+((B10-1000000)*5%)</f>
        <v>211750</v>
      </c>
    </row>
    <row r="16">
      <c r="E16" s="1" t="s">
        <v>24</v>
      </c>
      <c r="F16" s="5">
        <f>F15-100000</f>
        <v>111750</v>
      </c>
      <c r="I16" s="1" t="s">
        <v>25</v>
      </c>
      <c r="J16" s="4">
        <f>J9+J14</f>
        <v>16178.55</v>
      </c>
      <c r="K16" s="7" t="b">
        <f>IF((J9+J14)/B8&lt;=0.65,True,False)</f>
        <v>1</v>
      </c>
    </row>
    <row r="17">
      <c r="I17" s="1" t="s">
        <v>18</v>
      </c>
      <c r="J17" s="5">
        <f>B8-J16</f>
        <v>13821.45</v>
      </c>
    </row>
    <row r="18">
      <c r="I18" s="1" t="s">
        <v>19</v>
      </c>
      <c r="J18" s="8">
        <f>B10*2.5%</f>
        <v>36250</v>
      </c>
      <c r="M18" s="9"/>
    </row>
    <row r="19">
      <c r="I19" s="1" t="s">
        <v>20</v>
      </c>
      <c r="J19" s="6">
        <v>5000.0</v>
      </c>
    </row>
    <row r="20">
      <c r="I20" s="1" t="s">
        <v>21</v>
      </c>
      <c r="J20" s="5">
        <f>SUM(J18:J19)</f>
        <v>41250</v>
      </c>
    </row>
    <row r="21">
      <c r="I21" s="1" t="s">
        <v>26</v>
      </c>
      <c r="J21" s="4">
        <f>J13+J8</f>
        <v>2082852</v>
      </c>
    </row>
    <row r="23">
      <c r="E23" s="1" t="s">
        <v>27</v>
      </c>
      <c r="F23" s="5">
        <f t="shared" ref="F23:F142" si="1">$F$8</f>
        <v>9667.875</v>
      </c>
      <c r="I23" s="1" t="s">
        <v>27</v>
      </c>
      <c r="J23" s="4">
        <f t="shared" ref="J23:J82" si="2">$J$16</f>
        <v>16178.55</v>
      </c>
      <c r="L23" s="4">
        <f t="shared" ref="L23:L143" si="3">J23-F23</f>
        <v>6510.675</v>
      </c>
    </row>
    <row r="24">
      <c r="E24" s="1" t="s">
        <v>28</v>
      </c>
      <c r="F24" s="5">
        <f t="shared" si="1"/>
        <v>9667.875</v>
      </c>
      <c r="I24" s="1" t="s">
        <v>28</v>
      </c>
      <c r="J24" s="4">
        <f t="shared" si="2"/>
        <v>16178.55</v>
      </c>
      <c r="L24" s="4">
        <f t="shared" si="3"/>
        <v>6510.675</v>
      </c>
    </row>
    <row r="25">
      <c r="E25" s="1" t="s">
        <v>29</v>
      </c>
      <c r="F25" s="5">
        <f t="shared" si="1"/>
        <v>9667.875</v>
      </c>
      <c r="I25" s="1" t="s">
        <v>29</v>
      </c>
      <c r="J25" s="4">
        <f t="shared" si="2"/>
        <v>16178.55</v>
      </c>
      <c r="L25" s="4">
        <f t="shared" si="3"/>
        <v>6510.675</v>
      </c>
    </row>
    <row r="26">
      <c r="E26" s="1" t="s">
        <v>30</v>
      </c>
      <c r="F26" s="5">
        <f t="shared" si="1"/>
        <v>9667.875</v>
      </c>
      <c r="I26" s="1" t="s">
        <v>30</v>
      </c>
      <c r="J26" s="4">
        <f t="shared" si="2"/>
        <v>16178.55</v>
      </c>
      <c r="L26" s="4">
        <f t="shared" si="3"/>
        <v>6510.675</v>
      </c>
    </row>
    <row r="27">
      <c r="E27" s="1" t="s">
        <v>31</v>
      </c>
      <c r="F27" s="5">
        <f t="shared" si="1"/>
        <v>9667.875</v>
      </c>
      <c r="I27" s="1" t="s">
        <v>31</v>
      </c>
      <c r="J27" s="4">
        <f t="shared" si="2"/>
        <v>16178.55</v>
      </c>
      <c r="L27" s="4">
        <f t="shared" si="3"/>
        <v>6510.675</v>
      </c>
    </row>
    <row r="28">
      <c r="E28" s="1" t="s">
        <v>32</v>
      </c>
      <c r="F28" s="5">
        <f t="shared" si="1"/>
        <v>9667.875</v>
      </c>
      <c r="I28" s="1" t="s">
        <v>32</v>
      </c>
      <c r="J28" s="4">
        <f t="shared" si="2"/>
        <v>16178.55</v>
      </c>
      <c r="L28" s="4">
        <f t="shared" si="3"/>
        <v>6510.675</v>
      </c>
    </row>
    <row r="29">
      <c r="E29" s="1" t="s">
        <v>33</v>
      </c>
      <c r="F29" s="5">
        <f t="shared" si="1"/>
        <v>9667.875</v>
      </c>
      <c r="I29" s="1" t="s">
        <v>33</v>
      </c>
      <c r="J29" s="4">
        <f t="shared" si="2"/>
        <v>16178.55</v>
      </c>
      <c r="L29" s="4">
        <f t="shared" si="3"/>
        <v>6510.675</v>
      </c>
    </row>
    <row r="30">
      <c r="E30" s="1" t="s">
        <v>34</v>
      </c>
      <c r="F30" s="5">
        <f t="shared" si="1"/>
        <v>9667.875</v>
      </c>
      <c r="I30" s="1" t="s">
        <v>34</v>
      </c>
      <c r="J30" s="4">
        <f t="shared" si="2"/>
        <v>16178.55</v>
      </c>
      <c r="L30" s="4">
        <f t="shared" si="3"/>
        <v>6510.675</v>
      </c>
    </row>
    <row r="31">
      <c r="E31" s="1" t="s">
        <v>35</v>
      </c>
      <c r="F31" s="5">
        <f t="shared" si="1"/>
        <v>9667.875</v>
      </c>
      <c r="I31" s="1" t="s">
        <v>35</v>
      </c>
      <c r="J31" s="4">
        <f t="shared" si="2"/>
        <v>16178.55</v>
      </c>
      <c r="L31" s="4">
        <f t="shared" si="3"/>
        <v>6510.675</v>
      </c>
    </row>
    <row r="32">
      <c r="E32" s="1" t="s">
        <v>36</v>
      </c>
      <c r="F32" s="5">
        <f t="shared" si="1"/>
        <v>9667.875</v>
      </c>
      <c r="I32" s="1" t="s">
        <v>36</v>
      </c>
      <c r="J32" s="4">
        <f t="shared" si="2"/>
        <v>16178.55</v>
      </c>
      <c r="L32" s="4">
        <f t="shared" si="3"/>
        <v>6510.675</v>
      </c>
    </row>
    <row r="33">
      <c r="E33" s="1" t="s">
        <v>37</v>
      </c>
      <c r="F33" s="5">
        <f t="shared" si="1"/>
        <v>9667.875</v>
      </c>
      <c r="I33" s="1" t="s">
        <v>37</v>
      </c>
      <c r="J33" s="4">
        <f t="shared" si="2"/>
        <v>16178.55</v>
      </c>
      <c r="L33" s="4">
        <f t="shared" si="3"/>
        <v>6510.675</v>
      </c>
    </row>
    <row r="34">
      <c r="E34" s="1" t="s">
        <v>38</v>
      </c>
      <c r="F34" s="5">
        <f t="shared" si="1"/>
        <v>9667.875</v>
      </c>
      <c r="I34" s="1" t="s">
        <v>38</v>
      </c>
      <c r="J34" s="4">
        <f t="shared" si="2"/>
        <v>16178.55</v>
      </c>
      <c r="L34" s="4">
        <f t="shared" si="3"/>
        <v>6510.675</v>
      </c>
    </row>
    <row r="35">
      <c r="E35" s="1" t="s">
        <v>39</v>
      </c>
      <c r="F35" s="5">
        <f t="shared" si="1"/>
        <v>9667.875</v>
      </c>
      <c r="I35" s="1" t="s">
        <v>39</v>
      </c>
      <c r="J35" s="4">
        <f t="shared" si="2"/>
        <v>16178.55</v>
      </c>
      <c r="L35" s="4">
        <f t="shared" si="3"/>
        <v>6510.675</v>
      </c>
    </row>
    <row r="36">
      <c r="E36" s="1" t="s">
        <v>40</v>
      </c>
      <c r="F36" s="5">
        <f t="shared" si="1"/>
        <v>9667.875</v>
      </c>
      <c r="I36" s="1" t="s">
        <v>40</v>
      </c>
      <c r="J36" s="4">
        <f t="shared" si="2"/>
        <v>16178.55</v>
      </c>
      <c r="L36" s="4">
        <f t="shared" si="3"/>
        <v>6510.675</v>
      </c>
    </row>
    <row r="37">
      <c r="E37" s="1" t="s">
        <v>41</v>
      </c>
      <c r="F37" s="5">
        <f t="shared" si="1"/>
        <v>9667.875</v>
      </c>
      <c r="I37" s="1" t="s">
        <v>41</v>
      </c>
      <c r="J37" s="4">
        <f t="shared" si="2"/>
        <v>16178.55</v>
      </c>
      <c r="L37" s="4">
        <f t="shared" si="3"/>
        <v>6510.675</v>
      </c>
    </row>
    <row r="38">
      <c r="E38" s="1" t="s">
        <v>42</v>
      </c>
      <c r="F38" s="5">
        <f t="shared" si="1"/>
        <v>9667.875</v>
      </c>
      <c r="I38" s="1" t="s">
        <v>42</v>
      </c>
      <c r="J38" s="4">
        <f t="shared" si="2"/>
        <v>16178.55</v>
      </c>
      <c r="L38" s="4">
        <f t="shared" si="3"/>
        <v>6510.675</v>
      </c>
    </row>
    <row r="39">
      <c r="E39" s="1" t="s">
        <v>43</v>
      </c>
      <c r="F39" s="5">
        <f t="shared" si="1"/>
        <v>9667.875</v>
      </c>
      <c r="I39" s="1" t="s">
        <v>43</v>
      </c>
      <c r="J39" s="4">
        <f t="shared" si="2"/>
        <v>16178.55</v>
      </c>
      <c r="L39" s="4">
        <f t="shared" si="3"/>
        <v>6510.675</v>
      </c>
    </row>
    <row r="40">
      <c r="E40" s="1" t="s">
        <v>44</v>
      </c>
      <c r="F40" s="5">
        <f t="shared" si="1"/>
        <v>9667.875</v>
      </c>
      <c r="I40" s="1" t="s">
        <v>44</v>
      </c>
      <c r="J40" s="4">
        <f t="shared" si="2"/>
        <v>16178.55</v>
      </c>
      <c r="L40" s="4">
        <f t="shared" si="3"/>
        <v>6510.675</v>
      </c>
    </row>
    <row r="41">
      <c r="E41" s="1" t="s">
        <v>45</v>
      </c>
      <c r="F41" s="5">
        <f t="shared" si="1"/>
        <v>9667.875</v>
      </c>
      <c r="I41" s="1" t="s">
        <v>45</v>
      </c>
      <c r="J41" s="4">
        <f t="shared" si="2"/>
        <v>16178.55</v>
      </c>
      <c r="L41" s="4">
        <f t="shared" si="3"/>
        <v>6510.675</v>
      </c>
    </row>
    <row r="42">
      <c r="E42" s="1" t="s">
        <v>46</v>
      </c>
      <c r="F42" s="5">
        <f t="shared" si="1"/>
        <v>9667.875</v>
      </c>
      <c r="I42" s="1" t="s">
        <v>46</v>
      </c>
      <c r="J42" s="4">
        <f t="shared" si="2"/>
        <v>16178.55</v>
      </c>
      <c r="L42" s="4">
        <f t="shared" si="3"/>
        <v>6510.675</v>
      </c>
    </row>
    <row r="43">
      <c r="E43" s="1" t="s">
        <v>47</v>
      </c>
      <c r="F43" s="5">
        <f t="shared" si="1"/>
        <v>9667.875</v>
      </c>
      <c r="I43" s="1" t="s">
        <v>47</v>
      </c>
      <c r="J43" s="4">
        <f t="shared" si="2"/>
        <v>16178.55</v>
      </c>
      <c r="L43" s="4">
        <f t="shared" si="3"/>
        <v>6510.675</v>
      </c>
    </row>
    <row r="44">
      <c r="E44" s="1" t="s">
        <v>48</v>
      </c>
      <c r="F44" s="5">
        <f t="shared" si="1"/>
        <v>9667.875</v>
      </c>
      <c r="I44" s="1" t="s">
        <v>48</v>
      </c>
      <c r="J44" s="4">
        <f t="shared" si="2"/>
        <v>16178.55</v>
      </c>
      <c r="L44" s="4">
        <f t="shared" si="3"/>
        <v>6510.675</v>
      </c>
    </row>
    <row r="45">
      <c r="E45" s="1" t="s">
        <v>49</v>
      </c>
      <c r="F45" s="5">
        <f t="shared" si="1"/>
        <v>9667.875</v>
      </c>
      <c r="I45" s="1" t="s">
        <v>49</v>
      </c>
      <c r="J45" s="4">
        <f t="shared" si="2"/>
        <v>16178.55</v>
      </c>
      <c r="L45" s="4">
        <f t="shared" si="3"/>
        <v>6510.675</v>
      </c>
    </row>
    <row r="46">
      <c r="E46" s="1" t="s">
        <v>50</v>
      </c>
      <c r="F46" s="5">
        <f t="shared" si="1"/>
        <v>9667.875</v>
      </c>
      <c r="I46" s="1" t="s">
        <v>50</v>
      </c>
      <c r="J46" s="4">
        <f t="shared" si="2"/>
        <v>16178.55</v>
      </c>
      <c r="L46" s="4">
        <f t="shared" si="3"/>
        <v>6510.675</v>
      </c>
    </row>
    <row r="47">
      <c r="E47" s="1" t="s">
        <v>51</v>
      </c>
      <c r="F47" s="5">
        <f t="shared" si="1"/>
        <v>9667.875</v>
      </c>
      <c r="I47" s="1" t="s">
        <v>51</v>
      </c>
      <c r="J47" s="4">
        <f t="shared" si="2"/>
        <v>16178.55</v>
      </c>
      <c r="L47" s="4">
        <f t="shared" si="3"/>
        <v>6510.675</v>
      </c>
    </row>
    <row r="48">
      <c r="E48" s="1" t="s">
        <v>52</v>
      </c>
      <c r="F48" s="5">
        <f t="shared" si="1"/>
        <v>9667.875</v>
      </c>
      <c r="I48" s="1" t="s">
        <v>52</v>
      </c>
      <c r="J48" s="4">
        <f t="shared" si="2"/>
        <v>16178.55</v>
      </c>
      <c r="L48" s="4">
        <f t="shared" si="3"/>
        <v>6510.675</v>
      </c>
    </row>
    <row r="49">
      <c r="E49" s="1" t="s">
        <v>53</v>
      </c>
      <c r="F49" s="5">
        <f t="shared" si="1"/>
        <v>9667.875</v>
      </c>
      <c r="I49" s="1" t="s">
        <v>53</v>
      </c>
      <c r="J49" s="4">
        <f t="shared" si="2"/>
        <v>16178.55</v>
      </c>
      <c r="L49" s="4">
        <f t="shared" si="3"/>
        <v>6510.675</v>
      </c>
    </row>
    <row r="50">
      <c r="E50" s="1" t="s">
        <v>54</v>
      </c>
      <c r="F50" s="5">
        <f t="shared" si="1"/>
        <v>9667.875</v>
      </c>
      <c r="I50" s="1" t="s">
        <v>54</v>
      </c>
      <c r="J50" s="4">
        <f t="shared" si="2"/>
        <v>16178.55</v>
      </c>
      <c r="L50" s="4">
        <f t="shared" si="3"/>
        <v>6510.675</v>
      </c>
    </row>
    <row r="51">
      <c r="E51" s="1" t="s">
        <v>55</v>
      </c>
      <c r="F51" s="5">
        <f t="shared" si="1"/>
        <v>9667.875</v>
      </c>
      <c r="I51" s="1" t="s">
        <v>55</v>
      </c>
      <c r="J51" s="4">
        <f t="shared" si="2"/>
        <v>16178.55</v>
      </c>
      <c r="L51" s="4">
        <f t="shared" si="3"/>
        <v>6510.675</v>
      </c>
    </row>
    <row r="52">
      <c r="E52" s="1" t="s">
        <v>56</v>
      </c>
      <c r="F52" s="5">
        <f t="shared" si="1"/>
        <v>9667.875</v>
      </c>
      <c r="I52" s="1" t="s">
        <v>56</v>
      </c>
      <c r="J52" s="4">
        <f t="shared" si="2"/>
        <v>16178.55</v>
      </c>
      <c r="L52" s="4">
        <f t="shared" si="3"/>
        <v>6510.675</v>
      </c>
    </row>
    <row r="53">
      <c r="E53" s="1" t="s">
        <v>57</v>
      </c>
      <c r="F53" s="5">
        <f t="shared" si="1"/>
        <v>9667.875</v>
      </c>
      <c r="I53" s="1" t="s">
        <v>57</v>
      </c>
      <c r="J53" s="4">
        <f t="shared" si="2"/>
        <v>16178.55</v>
      </c>
      <c r="L53" s="4">
        <f t="shared" si="3"/>
        <v>6510.675</v>
      </c>
    </row>
    <row r="54">
      <c r="E54" s="1" t="s">
        <v>58</v>
      </c>
      <c r="F54" s="5">
        <f t="shared" si="1"/>
        <v>9667.875</v>
      </c>
      <c r="I54" s="1" t="s">
        <v>58</v>
      </c>
      <c r="J54" s="4">
        <f t="shared" si="2"/>
        <v>16178.55</v>
      </c>
      <c r="L54" s="4">
        <f t="shared" si="3"/>
        <v>6510.675</v>
      </c>
    </row>
    <row r="55">
      <c r="E55" s="1" t="s">
        <v>59</v>
      </c>
      <c r="F55" s="5">
        <f t="shared" si="1"/>
        <v>9667.875</v>
      </c>
      <c r="I55" s="1" t="s">
        <v>59</v>
      </c>
      <c r="J55" s="4">
        <f t="shared" si="2"/>
        <v>16178.55</v>
      </c>
      <c r="L55" s="4">
        <f t="shared" si="3"/>
        <v>6510.675</v>
      </c>
    </row>
    <row r="56">
      <c r="E56" s="1" t="s">
        <v>60</v>
      </c>
      <c r="F56" s="5">
        <f t="shared" si="1"/>
        <v>9667.875</v>
      </c>
      <c r="I56" s="1" t="s">
        <v>60</v>
      </c>
      <c r="J56" s="4">
        <f t="shared" si="2"/>
        <v>16178.55</v>
      </c>
      <c r="L56" s="4">
        <f t="shared" si="3"/>
        <v>6510.675</v>
      </c>
    </row>
    <row r="57">
      <c r="E57" s="1" t="s">
        <v>61</v>
      </c>
      <c r="F57" s="5">
        <f t="shared" si="1"/>
        <v>9667.875</v>
      </c>
      <c r="I57" s="1" t="s">
        <v>61</v>
      </c>
      <c r="J57" s="4">
        <f t="shared" si="2"/>
        <v>16178.55</v>
      </c>
      <c r="L57" s="4">
        <f t="shared" si="3"/>
        <v>6510.675</v>
      </c>
    </row>
    <row r="58">
      <c r="E58" s="1" t="s">
        <v>62</v>
      </c>
      <c r="F58" s="5">
        <f t="shared" si="1"/>
        <v>9667.875</v>
      </c>
      <c r="I58" s="1" t="s">
        <v>62</v>
      </c>
      <c r="J58" s="4">
        <f t="shared" si="2"/>
        <v>16178.55</v>
      </c>
      <c r="L58" s="4">
        <f t="shared" si="3"/>
        <v>6510.675</v>
      </c>
    </row>
    <row r="59">
      <c r="E59" s="1" t="s">
        <v>63</v>
      </c>
      <c r="F59" s="5">
        <f t="shared" si="1"/>
        <v>9667.875</v>
      </c>
      <c r="I59" s="1" t="s">
        <v>63</v>
      </c>
      <c r="J59" s="4">
        <f t="shared" si="2"/>
        <v>16178.55</v>
      </c>
      <c r="L59" s="4">
        <f t="shared" si="3"/>
        <v>6510.675</v>
      </c>
    </row>
    <row r="60">
      <c r="E60" s="1" t="s">
        <v>64</v>
      </c>
      <c r="F60" s="5">
        <f t="shared" si="1"/>
        <v>9667.875</v>
      </c>
      <c r="I60" s="1" t="s">
        <v>64</v>
      </c>
      <c r="J60" s="4">
        <f t="shared" si="2"/>
        <v>16178.55</v>
      </c>
      <c r="L60" s="4">
        <f t="shared" si="3"/>
        <v>6510.675</v>
      </c>
    </row>
    <row r="61">
      <c r="E61" s="1" t="s">
        <v>65</v>
      </c>
      <c r="F61" s="5">
        <f t="shared" si="1"/>
        <v>9667.875</v>
      </c>
      <c r="I61" s="1" t="s">
        <v>65</v>
      </c>
      <c r="J61" s="4">
        <f t="shared" si="2"/>
        <v>16178.55</v>
      </c>
      <c r="L61" s="4">
        <f t="shared" si="3"/>
        <v>6510.675</v>
      </c>
    </row>
    <row r="62">
      <c r="E62" s="1" t="s">
        <v>66</v>
      </c>
      <c r="F62" s="5">
        <f t="shared" si="1"/>
        <v>9667.875</v>
      </c>
      <c r="I62" s="1" t="s">
        <v>66</v>
      </c>
      <c r="J62" s="4">
        <f t="shared" si="2"/>
        <v>16178.55</v>
      </c>
      <c r="L62" s="4">
        <f t="shared" si="3"/>
        <v>6510.675</v>
      </c>
    </row>
    <row r="63">
      <c r="E63" s="1" t="s">
        <v>67</v>
      </c>
      <c r="F63" s="5">
        <f t="shared" si="1"/>
        <v>9667.875</v>
      </c>
      <c r="I63" s="1" t="s">
        <v>67</v>
      </c>
      <c r="J63" s="4">
        <f t="shared" si="2"/>
        <v>16178.55</v>
      </c>
      <c r="L63" s="4">
        <f t="shared" si="3"/>
        <v>6510.675</v>
      </c>
    </row>
    <row r="64">
      <c r="E64" s="1" t="s">
        <v>68</v>
      </c>
      <c r="F64" s="5">
        <f t="shared" si="1"/>
        <v>9667.875</v>
      </c>
      <c r="I64" s="1" t="s">
        <v>68</v>
      </c>
      <c r="J64" s="4">
        <f t="shared" si="2"/>
        <v>16178.55</v>
      </c>
      <c r="L64" s="4">
        <f t="shared" si="3"/>
        <v>6510.675</v>
      </c>
    </row>
    <row r="65">
      <c r="E65" s="1" t="s">
        <v>69</v>
      </c>
      <c r="F65" s="5">
        <f t="shared" si="1"/>
        <v>9667.875</v>
      </c>
      <c r="I65" s="1" t="s">
        <v>69</v>
      </c>
      <c r="J65" s="4">
        <f t="shared" si="2"/>
        <v>16178.55</v>
      </c>
      <c r="L65" s="4">
        <f t="shared" si="3"/>
        <v>6510.675</v>
      </c>
    </row>
    <row r="66">
      <c r="E66" s="1" t="s">
        <v>70</v>
      </c>
      <c r="F66" s="5">
        <f t="shared" si="1"/>
        <v>9667.875</v>
      </c>
      <c r="I66" s="1" t="s">
        <v>70</v>
      </c>
      <c r="J66" s="4">
        <f t="shared" si="2"/>
        <v>16178.55</v>
      </c>
      <c r="L66" s="4">
        <f t="shared" si="3"/>
        <v>6510.675</v>
      </c>
    </row>
    <row r="67">
      <c r="E67" s="1" t="s">
        <v>71</v>
      </c>
      <c r="F67" s="5">
        <f t="shared" si="1"/>
        <v>9667.875</v>
      </c>
      <c r="I67" s="1" t="s">
        <v>71</v>
      </c>
      <c r="J67" s="4">
        <f t="shared" si="2"/>
        <v>16178.55</v>
      </c>
      <c r="L67" s="4">
        <f t="shared" si="3"/>
        <v>6510.675</v>
      </c>
    </row>
    <row r="68">
      <c r="E68" s="1" t="s">
        <v>72</v>
      </c>
      <c r="F68" s="5">
        <f t="shared" si="1"/>
        <v>9667.875</v>
      </c>
      <c r="I68" s="1" t="s">
        <v>72</v>
      </c>
      <c r="J68" s="4">
        <f t="shared" si="2"/>
        <v>16178.55</v>
      </c>
      <c r="L68" s="4">
        <f t="shared" si="3"/>
        <v>6510.675</v>
      </c>
    </row>
    <row r="69">
      <c r="E69" s="1" t="s">
        <v>73</v>
      </c>
      <c r="F69" s="5">
        <f t="shared" si="1"/>
        <v>9667.875</v>
      </c>
      <c r="I69" s="1" t="s">
        <v>73</v>
      </c>
      <c r="J69" s="4">
        <f t="shared" si="2"/>
        <v>16178.55</v>
      </c>
      <c r="L69" s="4">
        <f t="shared" si="3"/>
        <v>6510.675</v>
      </c>
    </row>
    <row r="70">
      <c r="E70" s="1" t="s">
        <v>74</v>
      </c>
      <c r="F70" s="5">
        <f t="shared" si="1"/>
        <v>9667.875</v>
      </c>
      <c r="I70" s="1" t="s">
        <v>74</v>
      </c>
      <c r="J70" s="4">
        <f t="shared" si="2"/>
        <v>16178.55</v>
      </c>
      <c r="L70" s="4">
        <f t="shared" si="3"/>
        <v>6510.675</v>
      </c>
    </row>
    <row r="71">
      <c r="E71" s="1" t="s">
        <v>75</v>
      </c>
      <c r="F71" s="5">
        <f t="shared" si="1"/>
        <v>9667.875</v>
      </c>
      <c r="I71" s="1" t="s">
        <v>75</v>
      </c>
      <c r="J71" s="4">
        <f t="shared" si="2"/>
        <v>16178.55</v>
      </c>
      <c r="L71" s="4">
        <f t="shared" si="3"/>
        <v>6510.675</v>
      </c>
    </row>
    <row r="72">
      <c r="E72" s="1" t="s">
        <v>76</v>
      </c>
      <c r="F72" s="5">
        <f t="shared" si="1"/>
        <v>9667.875</v>
      </c>
      <c r="I72" s="1" t="s">
        <v>76</v>
      </c>
      <c r="J72" s="4">
        <f t="shared" si="2"/>
        <v>16178.55</v>
      </c>
      <c r="L72" s="4">
        <f t="shared" si="3"/>
        <v>6510.675</v>
      </c>
    </row>
    <row r="73">
      <c r="E73" s="1" t="s">
        <v>77</v>
      </c>
      <c r="F73" s="5">
        <f t="shared" si="1"/>
        <v>9667.875</v>
      </c>
      <c r="I73" s="1" t="s">
        <v>77</v>
      </c>
      <c r="J73" s="4">
        <f t="shared" si="2"/>
        <v>16178.55</v>
      </c>
      <c r="L73" s="4">
        <f t="shared" si="3"/>
        <v>6510.675</v>
      </c>
    </row>
    <row r="74">
      <c r="E74" s="1" t="s">
        <v>78</v>
      </c>
      <c r="F74" s="5">
        <f t="shared" si="1"/>
        <v>9667.875</v>
      </c>
      <c r="I74" s="1" t="s">
        <v>78</v>
      </c>
      <c r="J74" s="4">
        <f t="shared" si="2"/>
        <v>16178.55</v>
      </c>
      <c r="L74" s="4">
        <f t="shared" si="3"/>
        <v>6510.675</v>
      </c>
    </row>
    <row r="75">
      <c r="E75" s="1" t="s">
        <v>79</v>
      </c>
      <c r="F75" s="5">
        <f t="shared" si="1"/>
        <v>9667.875</v>
      </c>
      <c r="I75" s="1" t="s">
        <v>79</v>
      </c>
      <c r="J75" s="4">
        <f t="shared" si="2"/>
        <v>16178.55</v>
      </c>
      <c r="L75" s="4">
        <f t="shared" si="3"/>
        <v>6510.675</v>
      </c>
    </row>
    <row r="76">
      <c r="E76" s="1" t="s">
        <v>80</v>
      </c>
      <c r="F76" s="5">
        <f t="shared" si="1"/>
        <v>9667.875</v>
      </c>
      <c r="I76" s="1" t="s">
        <v>80</v>
      </c>
      <c r="J76" s="4">
        <f t="shared" si="2"/>
        <v>16178.55</v>
      </c>
      <c r="L76" s="4">
        <f t="shared" si="3"/>
        <v>6510.675</v>
      </c>
    </row>
    <row r="77">
      <c r="E77" s="1" t="s">
        <v>81</v>
      </c>
      <c r="F77" s="5">
        <f t="shared" si="1"/>
        <v>9667.875</v>
      </c>
      <c r="I77" s="1" t="s">
        <v>81</v>
      </c>
      <c r="J77" s="4">
        <f t="shared" si="2"/>
        <v>16178.55</v>
      </c>
      <c r="L77" s="4">
        <f t="shared" si="3"/>
        <v>6510.675</v>
      </c>
    </row>
    <row r="78">
      <c r="E78" s="1" t="s">
        <v>82</v>
      </c>
      <c r="F78" s="5">
        <f t="shared" si="1"/>
        <v>9667.875</v>
      </c>
      <c r="I78" s="1" t="s">
        <v>82</v>
      </c>
      <c r="J78" s="4">
        <f t="shared" si="2"/>
        <v>16178.55</v>
      </c>
      <c r="L78" s="4">
        <f t="shared" si="3"/>
        <v>6510.675</v>
      </c>
    </row>
    <row r="79">
      <c r="E79" s="1" t="s">
        <v>83</v>
      </c>
      <c r="F79" s="5">
        <f t="shared" si="1"/>
        <v>9667.875</v>
      </c>
      <c r="I79" s="1" t="s">
        <v>83</v>
      </c>
      <c r="J79" s="4">
        <f t="shared" si="2"/>
        <v>16178.55</v>
      </c>
      <c r="L79" s="4">
        <f t="shared" si="3"/>
        <v>6510.675</v>
      </c>
    </row>
    <row r="80">
      <c r="E80" s="1" t="s">
        <v>84</v>
      </c>
      <c r="F80" s="5">
        <f t="shared" si="1"/>
        <v>9667.875</v>
      </c>
      <c r="I80" s="1" t="s">
        <v>84</v>
      </c>
      <c r="J80" s="4">
        <f t="shared" si="2"/>
        <v>16178.55</v>
      </c>
      <c r="L80" s="4">
        <f t="shared" si="3"/>
        <v>6510.675</v>
      </c>
    </row>
    <row r="81">
      <c r="E81" s="1" t="s">
        <v>85</v>
      </c>
      <c r="F81" s="5">
        <f t="shared" si="1"/>
        <v>9667.875</v>
      </c>
      <c r="I81" s="1" t="s">
        <v>85</v>
      </c>
      <c r="J81" s="4">
        <f t="shared" si="2"/>
        <v>16178.55</v>
      </c>
      <c r="L81" s="4">
        <f t="shared" si="3"/>
        <v>6510.675</v>
      </c>
    </row>
    <row r="82">
      <c r="E82" s="1" t="s">
        <v>86</v>
      </c>
      <c r="F82" s="5">
        <f t="shared" si="1"/>
        <v>9667.875</v>
      </c>
      <c r="I82" s="1" t="s">
        <v>86</v>
      </c>
      <c r="J82" s="4">
        <f t="shared" si="2"/>
        <v>16178.55</v>
      </c>
      <c r="L82" s="4">
        <f t="shared" si="3"/>
        <v>6510.675</v>
      </c>
    </row>
    <row r="83">
      <c r="E83" s="1" t="s">
        <v>87</v>
      </c>
      <c r="F83" s="5">
        <f t="shared" si="1"/>
        <v>9667.875</v>
      </c>
      <c r="I83" s="1" t="s">
        <v>87</v>
      </c>
      <c r="J83" s="5">
        <f t="shared" ref="J83:J142" si="4">$J$14</f>
        <v>6178.55</v>
      </c>
      <c r="L83" s="5">
        <f t="shared" si="3"/>
        <v>-3489.325</v>
      </c>
    </row>
    <row r="84">
      <c r="E84" s="1" t="s">
        <v>88</v>
      </c>
      <c r="F84" s="5">
        <f t="shared" si="1"/>
        <v>9667.875</v>
      </c>
      <c r="I84" s="1" t="s">
        <v>88</v>
      </c>
      <c r="J84" s="5">
        <f t="shared" si="4"/>
        <v>6178.55</v>
      </c>
      <c r="L84" s="5">
        <f t="shared" si="3"/>
        <v>-3489.325</v>
      </c>
    </row>
    <row r="85">
      <c r="E85" s="1" t="s">
        <v>89</v>
      </c>
      <c r="F85" s="5">
        <f t="shared" si="1"/>
        <v>9667.875</v>
      </c>
      <c r="I85" s="1" t="s">
        <v>89</v>
      </c>
      <c r="J85" s="5">
        <f t="shared" si="4"/>
        <v>6178.55</v>
      </c>
      <c r="L85" s="5">
        <f t="shared" si="3"/>
        <v>-3489.325</v>
      </c>
    </row>
    <row r="86">
      <c r="E86" s="1" t="s">
        <v>90</v>
      </c>
      <c r="F86" s="5">
        <f t="shared" si="1"/>
        <v>9667.875</v>
      </c>
      <c r="I86" s="1" t="s">
        <v>90</v>
      </c>
      <c r="J86" s="5">
        <f t="shared" si="4"/>
        <v>6178.55</v>
      </c>
      <c r="L86" s="5">
        <f t="shared" si="3"/>
        <v>-3489.325</v>
      </c>
    </row>
    <row r="87">
      <c r="E87" s="1" t="s">
        <v>91</v>
      </c>
      <c r="F87" s="5">
        <f t="shared" si="1"/>
        <v>9667.875</v>
      </c>
      <c r="I87" s="1" t="s">
        <v>91</v>
      </c>
      <c r="J87" s="5">
        <f t="shared" si="4"/>
        <v>6178.55</v>
      </c>
      <c r="L87" s="5">
        <f t="shared" si="3"/>
        <v>-3489.325</v>
      </c>
    </row>
    <row r="88">
      <c r="E88" s="1" t="s">
        <v>92</v>
      </c>
      <c r="F88" s="5">
        <f t="shared" si="1"/>
        <v>9667.875</v>
      </c>
      <c r="I88" s="1" t="s">
        <v>92</v>
      </c>
      <c r="J88" s="5">
        <f t="shared" si="4"/>
        <v>6178.55</v>
      </c>
      <c r="L88" s="5">
        <f t="shared" si="3"/>
        <v>-3489.325</v>
      </c>
    </row>
    <row r="89">
      <c r="E89" s="1" t="s">
        <v>93</v>
      </c>
      <c r="F89" s="5">
        <f t="shared" si="1"/>
        <v>9667.875</v>
      </c>
      <c r="I89" s="1" t="s">
        <v>93</v>
      </c>
      <c r="J89" s="5">
        <f t="shared" si="4"/>
        <v>6178.55</v>
      </c>
      <c r="L89" s="5">
        <f t="shared" si="3"/>
        <v>-3489.325</v>
      </c>
    </row>
    <row r="90">
      <c r="E90" s="1" t="s">
        <v>94</v>
      </c>
      <c r="F90" s="5">
        <f t="shared" si="1"/>
        <v>9667.875</v>
      </c>
      <c r="I90" s="1" t="s">
        <v>94</v>
      </c>
      <c r="J90" s="5">
        <f t="shared" si="4"/>
        <v>6178.55</v>
      </c>
      <c r="L90" s="5">
        <f t="shared" si="3"/>
        <v>-3489.325</v>
      </c>
    </row>
    <row r="91">
      <c r="E91" s="1" t="s">
        <v>95</v>
      </c>
      <c r="F91" s="5">
        <f t="shared" si="1"/>
        <v>9667.875</v>
      </c>
      <c r="I91" s="1" t="s">
        <v>95</v>
      </c>
      <c r="J91" s="5">
        <f t="shared" si="4"/>
        <v>6178.55</v>
      </c>
      <c r="L91" s="5">
        <f t="shared" si="3"/>
        <v>-3489.325</v>
      </c>
    </row>
    <row r="92">
      <c r="E92" s="1" t="s">
        <v>96</v>
      </c>
      <c r="F92" s="5">
        <f t="shared" si="1"/>
        <v>9667.875</v>
      </c>
      <c r="I92" s="1" t="s">
        <v>96</v>
      </c>
      <c r="J92" s="5">
        <f t="shared" si="4"/>
        <v>6178.55</v>
      </c>
      <c r="L92" s="5">
        <f t="shared" si="3"/>
        <v>-3489.325</v>
      </c>
    </row>
    <row r="93">
      <c r="E93" s="1" t="s">
        <v>97</v>
      </c>
      <c r="F93" s="5">
        <f t="shared" si="1"/>
        <v>9667.875</v>
      </c>
      <c r="I93" s="1" t="s">
        <v>97</v>
      </c>
      <c r="J93" s="5">
        <f t="shared" si="4"/>
        <v>6178.55</v>
      </c>
      <c r="L93" s="5">
        <f t="shared" si="3"/>
        <v>-3489.325</v>
      </c>
    </row>
    <row r="94">
      <c r="E94" s="1" t="s">
        <v>98</v>
      </c>
      <c r="F94" s="5">
        <f t="shared" si="1"/>
        <v>9667.875</v>
      </c>
      <c r="I94" s="1" t="s">
        <v>98</v>
      </c>
      <c r="J94" s="5">
        <f t="shared" si="4"/>
        <v>6178.55</v>
      </c>
      <c r="L94" s="5">
        <f t="shared" si="3"/>
        <v>-3489.325</v>
      </c>
    </row>
    <row r="95">
      <c r="E95" s="1" t="s">
        <v>99</v>
      </c>
      <c r="F95" s="5">
        <f t="shared" si="1"/>
        <v>9667.875</v>
      </c>
      <c r="I95" s="1" t="s">
        <v>99</v>
      </c>
      <c r="J95" s="5">
        <f t="shared" si="4"/>
        <v>6178.55</v>
      </c>
      <c r="L95" s="5">
        <f t="shared" si="3"/>
        <v>-3489.325</v>
      </c>
    </row>
    <row r="96">
      <c r="E96" s="1" t="s">
        <v>100</v>
      </c>
      <c r="F96" s="5">
        <f t="shared" si="1"/>
        <v>9667.875</v>
      </c>
      <c r="I96" s="1" t="s">
        <v>100</v>
      </c>
      <c r="J96" s="5">
        <f t="shared" si="4"/>
        <v>6178.55</v>
      </c>
      <c r="L96" s="5">
        <f t="shared" si="3"/>
        <v>-3489.325</v>
      </c>
    </row>
    <row r="97">
      <c r="E97" s="1" t="s">
        <v>101</v>
      </c>
      <c r="F97" s="5">
        <f t="shared" si="1"/>
        <v>9667.875</v>
      </c>
      <c r="I97" s="1" t="s">
        <v>101</v>
      </c>
      <c r="J97" s="5">
        <f t="shared" si="4"/>
        <v>6178.55</v>
      </c>
      <c r="L97" s="5">
        <f t="shared" si="3"/>
        <v>-3489.325</v>
      </c>
    </row>
    <row r="98">
      <c r="E98" s="1" t="s">
        <v>102</v>
      </c>
      <c r="F98" s="5">
        <f t="shared" si="1"/>
        <v>9667.875</v>
      </c>
      <c r="I98" s="1" t="s">
        <v>102</v>
      </c>
      <c r="J98" s="5">
        <f t="shared" si="4"/>
        <v>6178.55</v>
      </c>
      <c r="L98" s="5">
        <f t="shared" si="3"/>
        <v>-3489.325</v>
      </c>
    </row>
    <row r="99">
      <c r="E99" s="1" t="s">
        <v>103</v>
      </c>
      <c r="F99" s="5">
        <f t="shared" si="1"/>
        <v>9667.875</v>
      </c>
      <c r="I99" s="1" t="s">
        <v>103</v>
      </c>
      <c r="J99" s="5">
        <f t="shared" si="4"/>
        <v>6178.55</v>
      </c>
      <c r="L99" s="5">
        <f t="shared" si="3"/>
        <v>-3489.325</v>
      </c>
    </row>
    <row r="100">
      <c r="E100" s="1" t="s">
        <v>104</v>
      </c>
      <c r="F100" s="5">
        <f t="shared" si="1"/>
        <v>9667.875</v>
      </c>
      <c r="I100" s="1" t="s">
        <v>104</v>
      </c>
      <c r="J100" s="5">
        <f t="shared" si="4"/>
        <v>6178.55</v>
      </c>
      <c r="L100" s="5">
        <f t="shared" si="3"/>
        <v>-3489.325</v>
      </c>
    </row>
    <row r="101">
      <c r="E101" s="1" t="s">
        <v>105</v>
      </c>
      <c r="F101" s="5">
        <f t="shared" si="1"/>
        <v>9667.875</v>
      </c>
      <c r="I101" s="1" t="s">
        <v>105</v>
      </c>
      <c r="J101" s="5">
        <f t="shared" si="4"/>
        <v>6178.55</v>
      </c>
      <c r="L101" s="5">
        <f t="shared" si="3"/>
        <v>-3489.325</v>
      </c>
    </row>
    <row r="102">
      <c r="E102" s="1" t="s">
        <v>106</v>
      </c>
      <c r="F102" s="5">
        <f t="shared" si="1"/>
        <v>9667.875</v>
      </c>
      <c r="I102" s="1" t="s">
        <v>106</v>
      </c>
      <c r="J102" s="5">
        <f t="shared" si="4"/>
        <v>6178.55</v>
      </c>
      <c r="L102" s="5">
        <f t="shared" si="3"/>
        <v>-3489.325</v>
      </c>
    </row>
    <row r="103">
      <c r="E103" s="1" t="s">
        <v>107</v>
      </c>
      <c r="F103" s="5">
        <f t="shared" si="1"/>
        <v>9667.875</v>
      </c>
      <c r="I103" s="1" t="s">
        <v>107</v>
      </c>
      <c r="J103" s="5">
        <f t="shared" si="4"/>
        <v>6178.55</v>
      </c>
      <c r="L103" s="5">
        <f t="shared" si="3"/>
        <v>-3489.325</v>
      </c>
    </row>
    <row r="104">
      <c r="E104" s="1" t="s">
        <v>108</v>
      </c>
      <c r="F104" s="5">
        <f t="shared" si="1"/>
        <v>9667.875</v>
      </c>
      <c r="I104" s="1" t="s">
        <v>108</v>
      </c>
      <c r="J104" s="5">
        <f t="shared" si="4"/>
        <v>6178.55</v>
      </c>
      <c r="L104" s="5">
        <f t="shared" si="3"/>
        <v>-3489.325</v>
      </c>
    </row>
    <row r="105">
      <c r="E105" s="1" t="s">
        <v>109</v>
      </c>
      <c r="F105" s="5">
        <f t="shared" si="1"/>
        <v>9667.875</v>
      </c>
      <c r="I105" s="1" t="s">
        <v>109</v>
      </c>
      <c r="J105" s="5">
        <f t="shared" si="4"/>
        <v>6178.55</v>
      </c>
      <c r="L105" s="5">
        <f t="shared" si="3"/>
        <v>-3489.325</v>
      </c>
    </row>
    <row r="106">
      <c r="E106" s="1" t="s">
        <v>110</v>
      </c>
      <c r="F106" s="5">
        <f t="shared" si="1"/>
        <v>9667.875</v>
      </c>
      <c r="I106" s="1" t="s">
        <v>110</v>
      </c>
      <c r="J106" s="5">
        <f t="shared" si="4"/>
        <v>6178.55</v>
      </c>
      <c r="L106" s="5">
        <f t="shared" si="3"/>
        <v>-3489.325</v>
      </c>
    </row>
    <row r="107">
      <c r="E107" s="1" t="s">
        <v>111</v>
      </c>
      <c r="F107" s="5">
        <f t="shared" si="1"/>
        <v>9667.875</v>
      </c>
      <c r="I107" s="1" t="s">
        <v>111</v>
      </c>
      <c r="J107" s="5">
        <f t="shared" si="4"/>
        <v>6178.55</v>
      </c>
      <c r="L107" s="5">
        <f t="shared" si="3"/>
        <v>-3489.325</v>
      </c>
    </row>
    <row r="108">
      <c r="E108" s="1" t="s">
        <v>112</v>
      </c>
      <c r="F108" s="5">
        <f t="shared" si="1"/>
        <v>9667.875</v>
      </c>
      <c r="I108" s="1" t="s">
        <v>112</v>
      </c>
      <c r="J108" s="5">
        <f t="shared" si="4"/>
        <v>6178.55</v>
      </c>
      <c r="L108" s="5">
        <f t="shared" si="3"/>
        <v>-3489.325</v>
      </c>
    </row>
    <row r="109">
      <c r="E109" s="1" t="s">
        <v>113</v>
      </c>
      <c r="F109" s="5">
        <f t="shared" si="1"/>
        <v>9667.875</v>
      </c>
      <c r="I109" s="1" t="s">
        <v>113</v>
      </c>
      <c r="J109" s="5">
        <f t="shared" si="4"/>
        <v>6178.55</v>
      </c>
      <c r="L109" s="5">
        <f t="shared" si="3"/>
        <v>-3489.325</v>
      </c>
    </row>
    <row r="110">
      <c r="E110" s="1" t="s">
        <v>114</v>
      </c>
      <c r="F110" s="5">
        <f t="shared" si="1"/>
        <v>9667.875</v>
      </c>
      <c r="I110" s="1" t="s">
        <v>114</v>
      </c>
      <c r="J110" s="5">
        <f t="shared" si="4"/>
        <v>6178.55</v>
      </c>
      <c r="L110" s="5">
        <f t="shared" si="3"/>
        <v>-3489.325</v>
      </c>
    </row>
    <row r="111">
      <c r="E111" s="1" t="s">
        <v>115</v>
      </c>
      <c r="F111" s="5">
        <f t="shared" si="1"/>
        <v>9667.875</v>
      </c>
      <c r="I111" s="1" t="s">
        <v>115</v>
      </c>
      <c r="J111" s="5">
        <f t="shared" si="4"/>
        <v>6178.55</v>
      </c>
      <c r="L111" s="5">
        <f t="shared" si="3"/>
        <v>-3489.325</v>
      </c>
    </row>
    <row r="112">
      <c r="E112" s="1" t="s">
        <v>116</v>
      </c>
      <c r="F112" s="5">
        <f t="shared" si="1"/>
        <v>9667.875</v>
      </c>
      <c r="I112" s="1" t="s">
        <v>116</v>
      </c>
      <c r="J112" s="5">
        <f t="shared" si="4"/>
        <v>6178.55</v>
      </c>
      <c r="L112" s="5">
        <f t="shared" si="3"/>
        <v>-3489.325</v>
      </c>
    </row>
    <row r="113">
      <c r="E113" s="1" t="s">
        <v>117</v>
      </c>
      <c r="F113" s="5">
        <f t="shared" si="1"/>
        <v>9667.875</v>
      </c>
      <c r="I113" s="1" t="s">
        <v>117</v>
      </c>
      <c r="J113" s="5">
        <f t="shared" si="4"/>
        <v>6178.55</v>
      </c>
      <c r="L113" s="5">
        <f t="shared" si="3"/>
        <v>-3489.325</v>
      </c>
    </row>
    <row r="114">
      <c r="E114" s="1" t="s">
        <v>118</v>
      </c>
      <c r="F114" s="5">
        <f t="shared" si="1"/>
        <v>9667.875</v>
      </c>
      <c r="I114" s="1" t="s">
        <v>118</v>
      </c>
      <c r="J114" s="5">
        <f t="shared" si="4"/>
        <v>6178.55</v>
      </c>
      <c r="L114" s="5">
        <f t="shared" si="3"/>
        <v>-3489.325</v>
      </c>
    </row>
    <row r="115">
      <c r="E115" s="1" t="s">
        <v>119</v>
      </c>
      <c r="F115" s="5">
        <f t="shared" si="1"/>
        <v>9667.875</v>
      </c>
      <c r="I115" s="1" t="s">
        <v>119</v>
      </c>
      <c r="J115" s="5">
        <f t="shared" si="4"/>
        <v>6178.55</v>
      </c>
      <c r="L115" s="5">
        <f t="shared" si="3"/>
        <v>-3489.325</v>
      </c>
    </row>
    <row r="116">
      <c r="E116" s="1" t="s">
        <v>120</v>
      </c>
      <c r="F116" s="5">
        <f t="shared" si="1"/>
        <v>9667.875</v>
      </c>
      <c r="I116" s="1" t="s">
        <v>120</v>
      </c>
      <c r="J116" s="5">
        <f t="shared" si="4"/>
        <v>6178.55</v>
      </c>
      <c r="L116" s="5">
        <f t="shared" si="3"/>
        <v>-3489.325</v>
      </c>
    </row>
    <row r="117">
      <c r="E117" s="1" t="s">
        <v>121</v>
      </c>
      <c r="F117" s="5">
        <f t="shared" si="1"/>
        <v>9667.875</v>
      </c>
      <c r="I117" s="1" t="s">
        <v>121</v>
      </c>
      <c r="J117" s="5">
        <f t="shared" si="4"/>
        <v>6178.55</v>
      </c>
      <c r="L117" s="5">
        <f t="shared" si="3"/>
        <v>-3489.325</v>
      </c>
    </row>
    <row r="118">
      <c r="E118" s="1" t="s">
        <v>122</v>
      </c>
      <c r="F118" s="5">
        <f t="shared" si="1"/>
        <v>9667.875</v>
      </c>
      <c r="I118" s="1" t="s">
        <v>122</v>
      </c>
      <c r="J118" s="5">
        <f t="shared" si="4"/>
        <v>6178.55</v>
      </c>
      <c r="L118" s="5">
        <f t="shared" si="3"/>
        <v>-3489.325</v>
      </c>
    </row>
    <row r="119">
      <c r="E119" s="1" t="s">
        <v>123</v>
      </c>
      <c r="F119" s="5">
        <f t="shared" si="1"/>
        <v>9667.875</v>
      </c>
      <c r="I119" s="1" t="s">
        <v>123</v>
      </c>
      <c r="J119" s="5">
        <f t="shared" si="4"/>
        <v>6178.55</v>
      </c>
      <c r="L119" s="5">
        <f t="shared" si="3"/>
        <v>-3489.325</v>
      </c>
    </row>
    <row r="120">
      <c r="E120" s="1" t="s">
        <v>124</v>
      </c>
      <c r="F120" s="5">
        <f t="shared" si="1"/>
        <v>9667.875</v>
      </c>
      <c r="I120" s="1" t="s">
        <v>124</v>
      </c>
      <c r="J120" s="5">
        <f t="shared" si="4"/>
        <v>6178.55</v>
      </c>
      <c r="L120" s="5">
        <f t="shared" si="3"/>
        <v>-3489.325</v>
      </c>
    </row>
    <row r="121">
      <c r="E121" s="1" t="s">
        <v>125</v>
      </c>
      <c r="F121" s="5">
        <f t="shared" si="1"/>
        <v>9667.875</v>
      </c>
      <c r="I121" s="1" t="s">
        <v>125</v>
      </c>
      <c r="J121" s="5">
        <f t="shared" si="4"/>
        <v>6178.55</v>
      </c>
      <c r="L121" s="5">
        <f t="shared" si="3"/>
        <v>-3489.325</v>
      </c>
    </row>
    <row r="122">
      <c r="E122" s="1" t="s">
        <v>126</v>
      </c>
      <c r="F122" s="5">
        <f t="shared" si="1"/>
        <v>9667.875</v>
      </c>
      <c r="I122" s="1" t="s">
        <v>126</v>
      </c>
      <c r="J122" s="5">
        <f t="shared" si="4"/>
        <v>6178.55</v>
      </c>
      <c r="L122" s="5">
        <f t="shared" si="3"/>
        <v>-3489.325</v>
      </c>
    </row>
    <row r="123">
      <c r="E123" s="1" t="s">
        <v>127</v>
      </c>
      <c r="F123" s="5">
        <f t="shared" si="1"/>
        <v>9667.875</v>
      </c>
      <c r="I123" s="1" t="s">
        <v>127</v>
      </c>
      <c r="J123" s="5">
        <f t="shared" si="4"/>
        <v>6178.55</v>
      </c>
      <c r="L123" s="5">
        <f t="shared" si="3"/>
        <v>-3489.325</v>
      </c>
    </row>
    <row r="124">
      <c r="E124" s="1" t="s">
        <v>128</v>
      </c>
      <c r="F124" s="5">
        <f t="shared" si="1"/>
        <v>9667.875</v>
      </c>
      <c r="I124" s="1" t="s">
        <v>128</v>
      </c>
      <c r="J124" s="5">
        <f t="shared" si="4"/>
        <v>6178.55</v>
      </c>
      <c r="L124" s="5">
        <f t="shared" si="3"/>
        <v>-3489.325</v>
      </c>
    </row>
    <row r="125">
      <c r="E125" s="1" t="s">
        <v>129</v>
      </c>
      <c r="F125" s="5">
        <f t="shared" si="1"/>
        <v>9667.875</v>
      </c>
      <c r="I125" s="1" t="s">
        <v>129</v>
      </c>
      <c r="J125" s="5">
        <f t="shared" si="4"/>
        <v>6178.55</v>
      </c>
      <c r="L125" s="5">
        <f t="shared" si="3"/>
        <v>-3489.325</v>
      </c>
    </row>
    <row r="126">
      <c r="E126" s="1" t="s">
        <v>130</v>
      </c>
      <c r="F126" s="5">
        <f t="shared" si="1"/>
        <v>9667.875</v>
      </c>
      <c r="I126" s="1" t="s">
        <v>130</v>
      </c>
      <c r="J126" s="5">
        <f t="shared" si="4"/>
        <v>6178.55</v>
      </c>
      <c r="L126" s="5">
        <f t="shared" si="3"/>
        <v>-3489.325</v>
      </c>
    </row>
    <row r="127">
      <c r="E127" s="1" t="s">
        <v>131</v>
      </c>
      <c r="F127" s="5">
        <f t="shared" si="1"/>
        <v>9667.875</v>
      </c>
      <c r="I127" s="1" t="s">
        <v>131</v>
      </c>
      <c r="J127" s="5">
        <f t="shared" si="4"/>
        <v>6178.55</v>
      </c>
      <c r="L127" s="5">
        <f t="shared" si="3"/>
        <v>-3489.325</v>
      </c>
    </row>
    <row r="128">
      <c r="E128" s="1" t="s">
        <v>132</v>
      </c>
      <c r="F128" s="5">
        <f t="shared" si="1"/>
        <v>9667.875</v>
      </c>
      <c r="I128" s="1" t="s">
        <v>132</v>
      </c>
      <c r="J128" s="5">
        <f t="shared" si="4"/>
        <v>6178.55</v>
      </c>
      <c r="L128" s="5">
        <f t="shared" si="3"/>
        <v>-3489.325</v>
      </c>
    </row>
    <row r="129">
      <c r="E129" s="1" t="s">
        <v>133</v>
      </c>
      <c r="F129" s="5">
        <f t="shared" si="1"/>
        <v>9667.875</v>
      </c>
      <c r="I129" s="1" t="s">
        <v>133</v>
      </c>
      <c r="J129" s="5">
        <f t="shared" si="4"/>
        <v>6178.55</v>
      </c>
      <c r="L129" s="5">
        <f t="shared" si="3"/>
        <v>-3489.325</v>
      </c>
    </row>
    <row r="130">
      <c r="E130" s="1" t="s">
        <v>134</v>
      </c>
      <c r="F130" s="5">
        <f t="shared" si="1"/>
        <v>9667.875</v>
      </c>
      <c r="I130" s="1" t="s">
        <v>134</v>
      </c>
      <c r="J130" s="5">
        <f t="shared" si="4"/>
        <v>6178.55</v>
      </c>
      <c r="L130" s="5">
        <f t="shared" si="3"/>
        <v>-3489.325</v>
      </c>
    </row>
    <row r="131">
      <c r="E131" s="1" t="s">
        <v>135</v>
      </c>
      <c r="F131" s="5">
        <f t="shared" si="1"/>
        <v>9667.875</v>
      </c>
      <c r="I131" s="1" t="s">
        <v>135</v>
      </c>
      <c r="J131" s="5">
        <f t="shared" si="4"/>
        <v>6178.55</v>
      </c>
      <c r="L131" s="5">
        <f t="shared" si="3"/>
        <v>-3489.325</v>
      </c>
    </row>
    <row r="132">
      <c r="E132" s="1" t="s">
        <v>136</v>
      </c>
      <c r="F132" s="5">
        <f t="shared" si="1"/>
        <v>9667.875</v>
      </c>
      <c r="I132" s="1" t="s">
        <v>136</v>
      </c>
      <c r="J132" s="5">
        <f t="shared" si="4"/>
        <v>6178.55</v>
      </c>
      <c r="L132" s="5">
        <f t="shared" si="3"/>
        <v>-3489.325</v>
      </c>
    </row>
    <row r="133">
      <c r="E133" s="1" t="s">
        <v>137</v>
      </c>
      <c r="F133" s="5">
        <f t="shared" si="1"/>
        <v>9667.875</v>
      </c>
      <c r="I133" s="1" t="s">
        <v>137</v>
      </c>
      <c r="J133" s="5">
        <f t="shared" si="4"/>
        <v>6178.55</v>
      </c>
      <c r="L133" s="5">
        <f t="shared" si="3"/>
        <v>-3489.325</v>
      </c>
    </row>
    <row r="134">
      <c r="E134" s="1" t="s">
        <v>138</v>
      </c>
      <c r="F134" s="5">
        <f t="shared" si="1"/>
        <v>9667.875</v>
      </c>
      <c r="I134" s="1" t="s">
        <v>138</v>
      </c>
      <c r="J134" s="5">
        <f t="shared" si="4"/>
        <v>6178.55</v>
      </c>
      <c r="L134" s="5">
        <f t="shared" si="3"/>
        <v>-3489.325</v>
      </c>
    </row>
    <row r="135">
      <c r="E135" s="1" t="s">
        <v>139</v>
      </c>
      <c r="F135" s="5">
        <f t="shared" si="1"/>
        <v>9667.875</v>
      </c>
      <c r="I135" s="1" t="s">
        <v>139</v>
      </c>
      <c r="J135" s="5">
        <f t="shared" si="4"/>
        <v>6178.55</v>
      </c>
      <c r="L135" s="5">
        <f t="shared" si="3"/>
        <v>-3489.325</v>
      </c>
    </row>
    <row r="136">
      <c r="E136" s="1" t="s">
        <v>140</v>
      </c>
      <c r="F136" s="5">
        <f t="shared" si="1"/>
        <v>9667.875</v>
      </c>
      <c r="I136" s="1" t="s">
        <v>140</v>
      </c>
      <c r="J136" s="5">
        <f t="shared" si="4"/>
        <v>6178.55</v>
      </c>
      <c r="L136" s="5">
        <f t="shared" si="3"/>
        <v>-3489.325</v>
      </c>
    </row>
    <row r="137">
      <c r="E137" s="1" t="s">
        <v>141</v>
      </c>
      <c r="F137" s="5">
        <f t="shared" si="1"/>
        <v>9667.875</v>
      </c>
      <c r="I137" s="1" t="s">
        <v>141</v>
      </c>
      <c r="J137" s="5">
        <f t="shared" si="4"/>
        <v>6178.55</v>
      </c>
      <c r="L137" s="5">
        <f t="shared" si="3"/>
        <v>-3489.325</v>
      </c>
    </row>
    <row r="138">
      <c r="E138" s="1" t="s">
        <v>142</v>
      </c>
      <c r="F138" s="5">
        <f t="shared" si="1"/>
        <v>9667.875</v>
      </c>
      <c r="I138" s="1" t="s">
        <v>142</v>
      </c>
      <c r="J138" s="5">
        <f t="shared" si="4"/>
        <v>6178.55</v>
      </c>
      <c r="L138" s="5">
        <f t="shared" si="3"/>
        <v>-3489.325</v>
      </c>
    </row>
    <row r="139">
      <c r="E139" s="1" t="s">
        <v>143</v>
      </c>
      <c r="F139" s="5">
        <f t="shared" si="1"/>
        <v>9667.875</v>
      </c>
      <c r="I139" s="1" t="s">
        <v>143</v>
      </c>
      <c r="J139" s="5">
        <f t="shared" si="4"/>
        <v>6178.55</v>
      </c>
      <c r="L139" s="5">
        <f t="shared" si="3"/>
        <v>-3489.325</v>
      </c>
    </row>
    <row r="140">
      <c r="E140" s="1" t="s">
        <v>144</v>
      </c>
      <c r="F140" s="5">
        <f t="shared" si="1"/>
        <v>9667.875</v>
      </c>
      <c r="I140" s="1" t="s">
        <v>144</v>
      </c>
      <c r="J140" s="5">
        <f t="shared" si="4"/>
        <v>6178.55</v>
      </c>
      <c r="L140" s="5">
        <f t="shared" si="3"/>
        <v>-3489.325</v>
      </c>
    </row>
    <row r="141">
      <c r="E141" s="1" t="s">
        <v>145</v>
      </c>
      <c r="F141" s="5">
        <f t="shared" si="1"/>
        <v>9667.875</v>
      </c>
      <c r="I141" s="1" t="s">
        <v>145</v>
      </c>
      <c r="J141" s="5">
        <f t="shared" si="4"/>
        <v>6178.55</v>
      </c>
      <c r="L141" s="5">
        <f t="shared" si="3"/>
        <v>-3489.325</v>
      </c>
    </row>
    <row r="142">
      <c r="E142" s="1" t="s">
        <v>146</v>
      </c>
      <c r="F142" s="5">
        <f t="shared" si="1"/>
        <v>9667.875</v>
      </c>
      <c r="I142" s="1" t="s">
        <v>146</v>
      </c>
      <c r="J142" s="5">
        <f t="shared" si="4"/>
        <v>6178.55</v>
      </c>
      <c r="L142" s="5">
        <f t="shared" si="3"/>
        <v>-3489.325</v>
      </c>
    </row>
    <row r="143">
      <c r="E143" s="1" t="s">
        <v>147</v>
      </c>
      <c r="F143" s="5">
        <f>SUM(F23:F142)</f>
        <v>1160145</v>
      </c>
      <c r="I143" s="1" t="s">
        <v>147</v>
      </c>
      <c r="J143" s="4">
        <f>SUM(J23:J142)</f>
        <v>1341426</v>
      </c>
      <c r="L143" s="4">
        <f t="shared" si="3"/>
        <v>181281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5" max="5" width="22.13"/>
    <col customWidth="1" min="9" max="9" width="25.75"/>
  </cols>
  <sheetData>
    <row r="2">
      <c r="A2" s="1" t="s">
        <v>0</v>
      </c>
    </row>
    <row r="3">
      <c r="N3" s="1">
        <v>375000.0</v>
      </c>
      <c r="O3" s="4">
        <f>11422*60</f>
        <v>685320</v>
      </c>
      <c r="P3" s="7">
        <f>O3/60</f>
        <v>11422</v>
      </c>
    </row>
    <row r="4">
      <c r="A4" s="1" t="s">
        <v>1</v>
      </c>
      <c r="B4" s="2">
        <v>0.027977</v>
      </c>
      <c r="E4" s="3" t="s">
        <v>2</v>
      </c>
      <c r="I4" s="3" t="s">
        <v>3</v>
      </c>
      <c r="N4" s="1">
        <v>980000.0</v>
      </c>
      <c r="O4" s="4">
        <f>8423*180</f>
        <v>1516140</v>
      </c>
      <c r="P4" s="7">
        <f>O4/180</f>
        <v>8423</v>
      </c>
    </row>
    <row r="5">
      <c r="A5" s="1" t="s">
        <v>4</v>
      </c>
      <c r="B5" s="1">
        <v>5.0</v>
      </c>
      <c r="E5" s="1" t="s">
        <v>5</v>
      </c>
      <c r="F5" s="4">
        <f>B10-B11</f>
        <v>1215000</v>
      </c>
      <c r="I5" s="1" t="s">
        <v>6</v>
      </c>
      <c r="N5" s="4">
        <f t="shared" ref="N5:O5" si="1">N3+N4</f>
        <v>1355000</v>
      </c>
      <c r="O5" s="4">
        <f t="shared" si="1"/>
        <v>2201460</v>
      </c>
      <c r="P5" s="4">
        <f>O5-N5</f>
        <v>846460</v>
      </c>
    </row>
    <row r="6">
      <c r="A6" s="1" t="s">
        <v>7</v>
      </c>
      <c r="B6" s="2">
        <v>0.0389</v>
      </c>
      <c r="E6" s="1" t="s">
        <v>8</v>
      </c>
      <c r="F6" s="5">
        <f>F5*B7*B6</f>
        <v>945270</v>
      </c>
      <c r="I6" s="1" t="s">
        <v>9</v>
      </c>
      <c r="J6" s="6">
        <f>(B8/3)*B5*12</f>
        <v>436000</v>
      </c>
    </row>
    <row r="7">
      <c r="A7" s="1" t="s">
        <v>10</v>
      </c>
      <c r="B7" s="1">
        <v>20.0</v>
      </c>
      <c r="E7" s="1" t="s">
        <v>11</v>
      </c>
      <c r="F7" s="4">
        <f>SUM(F5:F6)</f>
        <v>2160270</v>
      </c>
      <c r="I7" s="1" t="s">
        <v>12</v>
      </c>
      <c r="J7" s="4">
        <f>J6*B4*B5</f>
        <v>60989.86</v>
      </c>
    </row>
    <row r="8">
      <c r="A8" s="1" t="s">
        <v>13</v>
      </c>
      <c r="B8" s="6">
        <v>21800.0</v>
      </c>
      <c r="E8" s="1" t="s">
        <v>14</v>
      </c>
      <c r="F8" s="5">
        <f>F7/B7/12</f>
        <v>9001.125</v>
      </c>
      <c r="I8" s="1" t="s">
        <v>11</v>
      </c>
      <c r="J8" s="4">
        <f>J6</f>
        <v>436000</v>
      </c>
      <c r="L8" s="7">
        <f>B8/3</f>
        <v>7266.666667</v>
      </c>
    </row>
    <row r="9">
      <c r="I9" s="1" t="s">
        <v>15</v>
      </c>
      <c r="J9" s="4">
        <f>J8/B5/12</f>
        <v>7266.666667</v>
      </c>
      <c r="K9" s="4">
        <f>P3-J9</f>
        <v>4155.333333</v>
      </c>
    </row>
    <row r="10">
      <c r="A10" s="1" t="s">
        <v>16</v>
      </c>
      <c r="B10" s="6">
        <v>1350000.0</v>
      </c>
      <c r="F10" s="7" t="b">
        <f>IF(F8/B8&lt;=0.65,True,False)</f>
        <v>1</v>
      </c>
      <c r="I10" s="1" t="s">
        <v>17</v>
      </c>
      <c r="J10" s="4">
        <f>(J8-J7)+100000</f>
        <v>475010.14</v>
      </c>
    </row>
    <row r="11">
      <c r="A11" s="1" t="s">
        <v>17</v>
      </c>
      <c r="B11" s="7">
        <f>B10*10%</f>
        <v>135000</v>
      </c>
      <c r="E11" s="1" t="s">
        <v>18</v>
      </c>
      <c r="F11" s="5">
        <f>B8-F8</f>
        <v>12798.875</v>
      </c>
      <c r="I11" s="1" t="s">
        <v>5</v>
      </c>
      <c r="J11" s="4">
        <f>B10-J10</f>
        <v>874989.86</v>
      </c>
    </row>
    <row r="12">
      <c r="E12" s="1" t="s">
        <v>19</v>
      </c>
      <c r="F12" s="5">
        <f>B10*2.5%</f>
        <v>33750</v>
      </c>
      <c r="I12" s="1" t="s">
        <v>8</v>
      </c>
      <c r="J12" s="5">
        <f>J11*B7*B6</f>
        <v>680742.1111</v>
      </c>
    </row>
    <row r="13">
      <c r="E13" s="1" t="s">
        <v>20</v>
      </c>
      <c r="F13" s="6">
        <v>8000.0</v>
      </c>
      <c r="I13" s="1" t="s">
        <v>11</v>
      </c>
      <c r="J13" s="6">
        <f>SUM(J11:J12)</f>
        <v>1555731.971</v>
      </c>
    </row>
    <row r="14">
      <c r="E14" s="1" t="s">
        <v>21</v>
      </c>
      <c r="F14" s="5">
        <f>SUM(F12:F13,B11)</f>
        <v>176750</v>
      </c>
      <c r="I14" s="1" t="s">
        <v>22</v>
      </c>
      <c r="J14" s="5">
        <f>J13/B7/12</f>
        <v>6482.216546</v>
      </c>
    </row>
    <row r="15">
      <c r="E15" s="1" t="s">
        <v>23</v>
      </c>
      <c r="F15" s="5">
        <f>F14+((B10-1000000)*5%)</f>
        <v>194250</v>
      </c>
    </row>
    <row r="16">
      <c r="E16" s="1" t="s">
        <v>24</v>
      </c>
      <c r="F16" s="5">
        <f>F15-100000</f>
        <v>94250</v>
      </c>
      <c r="I16" s="1" t="s">
        <v>25</v>
      </c>
      <c r="J16" s="4">
        <f>J9+J14</f>
        <v>13748.88321</v>
      </c>
      <c r="K16" s="7" t="b">
        <f>IF((J9+J14)/B8&lt;=0.65,True,False)</f>
        <v>1</v>
      </c>
    </row>
    <row r="17">
      <c r="I17" s="1" t="s">
        <v>18</v>
      </c>
      <c r="J17" s="5">
        <f>B8-J16</f>
        <v>8051.116787</v>
      </c>
    </row>
    <row r="18">
      <c r="I18" s="1" t="s">
        <v>19</v>
      </c>
      <c r="J18" s="8">
        <f>B10*2.5%</f>
        <v>33750</v>
      </c>
      <c r="M18" s="9"/>
    </row>
    <row r="19">
      <c r="I19" s="1" t="s">
        <v>20</v>
      </c>
      <c r="J19" s="6">
        <v>5000.0</v>
      </c>
    </row>
    <row r="20">
      <c r="I20" s="1" t="s">
        <v>21</v>
      </c>
      <c r="J20" s="5">
        <f>SUM(J18:J19)</f>
        <v>38750</v>
      </c>
    </row>
    <row r="21">
      <c r="I21" s="1" t="s">
        <v>26</v>
      </c>
      <c r="J21" s="4">
        <f>J13+J8</f>
        <v>1991731.971</v>
      </c>
    </row>
    <row r="23">
      <c r="E23" s="1" t="s">
        <v>27</v>
      </c>
      <c r="F23" s="5">
        <f t="shared" ref="F23:F142" si="2">$F$8</f>
        <v>9001.125</v>
      </c>
      <c r="I23" s="1" t="s">
        <v>27</v>
      </c>
      <c r="J23" s="4">
        <f t="shared" ref="J23:J82" si="3">$J$16</f>
        <v>13748.88321</v>
      </c>
      <c r="L23" s="4">
        <f t="shared" ref="L23:L143" si="4">J23-F23</f>
        <v>4747.758213</v>
      </c>
    </row>
    <row r="24">
      <c r="E24" s="1" t="s">
        <v>28</v>
      </c>
      <c r="F24" s="5">
        <f t="shared" si="2"/>
        <v>9001.125</v>
      </c>
      <c r="I24" s="1" t="s">
        <v>28</v>
      </c>
      <c r="J24" s="4">
        <f t="shared" si="3"/>
        <v>13748.88321</v>
      </c>
      <c r="L24" s="4">
        <f t="shared" si="4"/>
        <v>4747.758213</v>
      </c>
    </row>
    <row r="25">
      <c r="E25" s="1" t="s">
        <v>29</v>
      </c>
      <c r="F25" s="5">
        <f t="shared" si="2"/>
        <v>9001.125</v>
      </c>
      <c r="I25" s="1" t="s">
        <v>29</v>
      </c>
      <c r="J25" s="4">
        <f t="shared" si="3"/>
        <v>13748.88321</v>
      </c>
      <c r="L25" s="4">
        <f t="shared" si="4"/>
        <v>4747.758213</v>
      </c>
    </row>
    <row r="26">
      <c r="E26" s="1" t="s">
        <v>30</v>
      </c>
      <c r="F26" s="5">
        <f t="shared" si="2"/>
        <v>9001.125</v>
      </c>
      <c r="I26" s="1" t="s">
        <v>30</v>
      </c>
      <c r="J26" s="4">
        <f t="shared" si="3"/>
        <v>13748.88321</v>
      </c>
      <c r="L26" s="4">
        <f t="shared" si="4"/>
        <v>4747.758213</v>
      </c>
    </row>
    <row r="27">
      <c r="E27" s="1" t="s">
        <v>31</v>
      </c>
      <c r="F27" s="5">
        <f t="shared" si="2"/>
        <v>9001.125</v>
      </c>
      <c r="I27" s="1" t="s">
        <v>31</v>
      </c>
      <c r="J27" s="4">
        <f t="shared" si="3"/>
        <v>13748.88321</v>
      </c>
      <c r="L27" s="4">
        <f t="shared" si="4"/>
        <v>4747.758213</v>
      </c>
    </row>
    <row r="28">
      <c r="E28" s="1" t="s">
        <v>32</v>
      </c>
      <c r="F28" s="5">
        <f t="shared" si="2"/>
        <v>9001.125</v>
      </c>
      <c r="I28" s="1" t="s">
        <v>32</v>
      </c>
      <c r="J28" s="4">
        <f t="shared" si="3"/>
        <v>13748.88321</v>
      </c>
      <c r="L28" s="4">
        <f t="shared" si="4"/>
        <v>4747.758213</v>
      </c>
    </row>
    <row r="29">
      <c r="E29" s="1" t="s">
        <v>33</v>
      </c>
      <c r="F29" s="5">
        <f t="shared" si="2"/>
        <v>9001.125</v>
      </c>
      <c r="I29" s="1" t="s">
        <v>33</v>
      </c>
      <c r="J29" s="4">
        <f t="shared" si="3"/>
        <v>13748.88321</v>
      </c>
      <c r="L29" s="4">
        <f t="shared" si="4"/>
        <v>4747.758213</v>
      </c>
    </row>
    <row r="30">
      <c r="E30" s="1" t="s">
        <v>34</v>
      </c>
      <c r="F30" s="5">
        <f t="shared" si="2"/>
        <v>9001.125</v>
      </c>
      <c r="I30" s="1" t="s">
        <v>34</v>
      </c>
      <c r="J30" s="4">
        <f t="shared" si="3"/>
        <v>13748.88321</v>
      </c>
      <c r="L30" s="4">
        <f t="shared" si="4"/>
        <v>4747.758213</v>
      </c>
    </row>
    <row r="31">
      <c r="E31" s="1" t="s">
        <v>35</v>
      </c>
      <c r="F31" s="5">
        <f t="shared" si="2"/>
        <v>9001.125</v>
      </c>
      <c r="I31" s="1" t="s">
        <v>35</v>
      </c>
      <c r="J31" s="4">
        <f t="shared" si="3"/>
        <v>13748.88321</v>
      </c>
      <c r="L31" s="4">
        <f t="shared" si="4"/>
        <v>4747.758213</v>
      </c>
    </row>
    <row r="32">
      <c r="E32" s="1" t="s">
        <v>36</v>
      </c>
      <c r="F32" s="5">
        <f t="shared" si="2"/>
        <v>9001.125</v>
      </c>
      <c r="I32" s="1" t="s">
        <v>36</v>
      </c>
      <c r="J32" s="4">
        <f t="shared" si="3"/>
        <v>13748.88321</v>
      </c>
      <c r="L32" s="4">
        <f t="shared" si="4"/>
        <v>4747.758213</v>
      </c>
    </row>
    <row r="33">
      <c r="E33" s="1" t="s">
        <v>37</v>
      </c>
      <c r="F33" s="5">
        <f t="shared" si="2"/>
        <v>9001.125</v>
      </c>
      <c r="I33" s="1" t="s">
        <v>37</v>
      </c>
      <c r="J33" s="4">
        <f t="shared" si="3"/>
        <v>13748.88321</v>
      </c>
      <c r="L33" s="4">
        <f t="shared" si="4"/>
        <v>4747.758213</v>
      </c>
    </row>
    <row r="34">
      <c r="E34" s="1" t="s">
        <v>38</v>
      </c>
      <c r="F34" s="5">
        <f t="shared" si="2"/>
        <v>9001.125</v>
      </c>
      <c r="I34" s="1" t="s">
        <v>38</v>
      </c>
      <c r="J34" s="4">
        <f t="shared" si="3"/>
        <v>13748.88321</v>
      </c>
      <c r="L34" s="4">
        <f t="shared" si="4"/>
        <v>4747.758213</v>
      </c>
    </row>
    <row r="35">
      <c r="E35" s="1" t="s">
        <v>39</v>
      </c>
      <c r="F35" s="5">
        <f t="shared" si="2"/>
        <v>9001.125</v>
      </c>
      <c r="I35" s="1" t="s">
        <v>39</v>
      </c>
      <c r="J35" s="4">
        <f t="shared" si="3"/>
        <v>13748.88321</v>
      </c>
      <c r="L35" s="4">
        <f t="shared" si="4"/>
        <v>4747.758213</v>
      </c>
    </row>
    <row r="36">
      <c r="E36" s="1" t="s">
        <v>40</v>
      </c>
      <c r="F36" s="5">
        <f t="shared" si="2"/>
        <v>9001.125</v>
      </c>
      <c r="I36" s="1" t="s">
        <v>40</v>
      </c>
      <c r="J36" s="4">
        <f t="shared" si="3"/>
        <v>13748.88321</v>
      </c>
      <c r="L36" s="4">
        <f t="shared" si="4"/>
        <v>4747.758213</v>
      </c>
    </row>
    <row r="37">
      <c r="E37" s="1" t="s">
        <v>41</v>
      </c>
      <c r="F37" s="5">
        <f t="shared" si="2"/>
        <v>9001.125</v>
      </c>
      <c r="I37" s="1" t="s">
        <v>41</v>
      </c>
      <c r="J37" s="4">
        <f t="shared" si="3"/>
        <v>13748.88321</v>
      </c>
      <c r="L37" s="4">
        <f t="shared" si="4"/>
        <v>4747.758213</v>
      </c>
    </row>
    <row r="38">
      <c r="E38" s="1" t="s">
        <v>42</v>
      </c>
      <c r="F38" s="5">
        <f t="shared" si="2"/>
        <v>9001.125</v>
      </c>
      <c r="I38" s="1" t="s">
        <v>42</v>
      </c>
      <c r="J38" s="4">
        <f t="shared" si="3"/>
        <v>13748.88321</v>
      </c>
      <c r="L38" s="4">
        <f t="shared" si="4"/>
        <v>4747.758213</v>
      </c>
    </row>
    <row r="39">
      <c r="E39" s="1" t="s">
        <v>43</v>
      </c>
      <c r="F39" s="5">
        <f t="shared" si="2"/>
        <v>9001.125</v>
      </c>
      <c r="I39" s="1" t="s">
        <v>43</v>
      </c>
      <c r="J39" s="4">
        <f t="shared" si="3"/>
        <v>13748.88321</v>
      </c>
      <c r="L39" s="4">
        <f t="shared" si="4"/>
        <v>4747.758213</v>
      </c>
    </row>
    <row r="40">
      <c r="E40" s="1" t="s">
        <v>44</v>
      </c>
      <c r="F40" s="5">
        <f t="shared" si="2"/>
        <v>9001.125</v>
      </c>
      <c r="I40" s="1" t="s">
        <v>44</v>
      </c>
      <c r="J40" s="4">
        <f t="shared" si="3"/>
        <v>13748.88321</v>
      </c>
      <c r="L40" s="4">
        <f t="shared" si="4"/>
        <v>4747.758213</v>
      </c>
    </row>
    <row r="41">
      <c r="E41" s="1" t="s">
        <v>45</v>
      </c>
      <c r="F41" s="5">
        <f t="shared" si="2"/>
        <v>9001.125</v>
      </c>
      <c r="I41" s="1" t="s">
        <v>45</v>
      </c>
      <c r="J41" s="4">
        <f t="shared" si="3"/>
        <v>13748.88321</v>
      </c>
      <c r="L41" s="4">
        <f t="shared" si="4"/>
        <v>4747.758213</v>
      </c>
    </row>
    <row r="42">
      <c r="E42" s="1" t="s">
        <v>46</v>
      </c>
      <c r="F42" s="5">
        <f t="shared" si="2"/>
        <v>9001.125</v>
      </c>
      <c r="I42" s="1" t="s">
        <v>46</v>
      </c>
      <c r="J42" s="4">
        <f t="shared" si="3"/>
        <v>13748.88321</v>
      </c>
      <c r="L42" s="4">
        <f t="shared" si="4"/>
        <v>4747.758213</v>
      </c>
    </row>
    <row r="43">
      <c r="E43" s="1" t="s">
        <v>47</v>
      </c>
      <c r="F43" s="5">
        <f t="shared" si="2"/>
        <v>9001.125</v>
      </c>
      <c r="I43" s="1" t="s">
        <v>47</v>
      </c>
      <c r="J43" s="4">
        <f t="shared" si="3"/>
        <v>13748.88321</v>
      </c>
      <c r="L43" s="4">
        <f t="shared" si="4"/>
        <v>4747.758213</v>
      </c>
    </row>
    <row r="44">
      <c r="E44" s="1" t="s">
        <v>48</v>
      </c>
      <c r="F44" s="5">
        <f t="shared" si="2"/>
        <v>9001.125</v>
      </c>
      <c r="I44" s="1" t="s">
        <v>48</v>
      </c>
      <c r="J44" s="4">
        <f t="shared" si="3"/>
        <v>13748.88321</v>
      </c>
      <c r="L44" s="4">
        <f t="shared" si="4"/>
        <v>4747.758213</v>
      </c>
    </row>
    <row r="45">
      <c r="E45" s="1" t="s">
        <v>49</v>
      </c>
      <c r="F45" s="5">
        <f t="shared" si="2"/>
        <v>9001.125</v>
      </c>
      <c r="I45" s="1" t="s">
        <v>49</v>
      </c>
      <c r="J45" s="4">
        <f t="shared" si="3"/>
        <v>13748.88321</v>
      </c>
      <c r="L45" s="4">
        <f t="shared" si="4"/>
        <v>4747.758213</v>
      </c>
    </row>
    <row r="46">
      <c r="E46" s="1" t="s">
        <v>50</v>
      </c>
      <c r="F46" s="5">
        <f t="shared" si="2"/>
        <v>9001.125</v>
      </c>
      <c r="I46" s="1" t="s">
        <v>50</v>
      </c>
      <c r="J46" s="4">
        <f t="shared" si="3"/>
        <v>13748.88321</v>
      </c>
      <c r="L46" s="4">
        <f t="shared" si="4"/>
        <v>4747.758213</v>
      </c>
    </row>
    <row r="47">
      <c r="E47" s="1" t="s">
        <v>51</v>
      </c>
      <c r="F47" s="5">
        <f t="shared" si="2"/>
        <v>9001.125</v>
      </c>
      <c r="I47" s="1" t="s">
        <v>51</v>
      </c>
      <c r="J47" s="4">
        <f t="shared" si="3"/>
        <v>13748.88321</v>
      </c>
      <c r="L47" s="4">
        <f t="shared" si="4"/>
        <v>4747.758213</v>
      </c>
    </row>
    <row r="48">
      <c r="E48" s="1" t="s">
        <v>52</v>
      </c>
      <c r="F48" s="5">
        <f t="shared" si="2"/>
        <v>9001.125</v>
      </c>
      <c r="I48" s="1" t="s">
        <v>52</v>
      </c>
      <c r="J48" s="4">
        <f t="shared" si="3"/>
        <v>13748.88321</v>
      </c>
      <c r="L48" s="4">
        <f t="shared" si="4"/>
        <v>4747.758213</v>
      </c>
    </row>
    <row r="49">
      <c r="E49" s="1" t="s">
        <v>53</v>
      </c>
      <c r="F49" s="5">
        <f t="shared" si="2"/>
        <v>9001.125</v>
      </c>
      <c r="I49" s="1" t="s">
        <v>53</v>
      </c>
      <c r="J49" s="4">
        <f t="shared" si="3"/>
        <v>13748.88321</v>
      </c>
      <c r="L49" s="4">
        <f t="shared" si="4"/>
        <v>4747.758213</v>
      </c>
    </row>
    <row r="50">
      <c r="E50" s="1" t="s">
        <v>54</v>
      </c>
      <c r="F50" s="5">
        <f t="shared" si="2"/>
        <v>9001.125</v>
      </c>
      <c r="I50" s="1" t="s">
        <v>54</v>
      </c>
      <c r="J50" s="4">
        <f t="shared" si="3"/>
        <v>13748.88321</v>
      </c>
      <c r="L50" s="4">
        <f t="shared" si="4"/>
        <v>4747.758213</v>
      </c>
    </row>
    <row r="51">
      <c r="E51" s="1" t="s">
        <v>55</v>
      </c>
      <c r="F51" s="5">
        <f t="shared" si="2"/>
        <v>9001.125</v>
      </c>
      <c r="I51" s="1" t="s">
        <v>55</v>
      </c>
      <c r="J51" s="4">
        <f t="shared" si="3"/>
        <v>13748.88321</v>
      </c>
      <c r="L51" s="4">
        <f t="shared" si="4"/>
        <v>4747.758213</v>
      </c>
    </row>
    <row r="52">
      <c r="E52" s="1" t="s">
        <v>56</v>
      </c>
      <c r="F52" s="5">
        <f t="shared" si="2"/>
        <v>9001.125</v>
      </c>
      <c r="I52" s="1" t="s">
        <v>56</v>
      </c>
      <c r="J52" s="4">
        <f t="shared" si="3"/>
        <v>13748.88321</v>
      </c>
      <c r="L52" s="4">
        <f t="shared" si="4"/>
        <v>4747.758213</v>
      </c>
    </row>
    <row r="53">
      <c r="E53" s="1" t="s">
        <v>57</v>
      </c>
      <c r="F53" s="5">
        <f t="shared" si="2"/>
        <v>9001.125</v>
      </c>
      <c r="I53" s="1" t="s">
        <v>57</v>
      </c>
      <c r="J53" s="4">
        <f t="shared" si="3"/>
        <v>13748.88321</v>
      </c>
      <c r="L53" s="4">
        <f t="shared" si="4"/>
        <v>4747.758213</v>
      </c>
    </row>
    <row r="54">
      <c r="E54" s="1" t="s">
        <v>58</v>
      </c>
      <c r="F54" s="5">
        <f t="shared" si="2"/>
        <v>9001.125</v>
      </c>
      <c r="I54" s="1" t="s">
        <v>58</v>
      </c>
      <c r="J54" s="4">
        <f t="shared" si="3"/>
        <v>13748.88321</v>
      </c>
      <c r="L54" s="4">
        <f t="shared" si="4"/>
        <v>4747.758213</v>
      </c>
    </row>
    <row r="55">
      <c r="E55" s="1" t="s">
        <v>59</v>
      </c>
      <c r="F55" s="5">
        <f t="shared" si="2"/>
        <v>9001.125</v>
      </c>
      <c r="I55" s="1" t="s">
        <v>59</v>
      </c>
      <c r="J55" s="4">
        <f t="shared" si="3"/>
        <v>13748.88321</v>
      </c>
      <c r="L55" s="4">
        <f t="shared" si="4"/>
        <v>4747.758213</v>
      </c>
    </row>
    <row r="56">
      <c r="E56" s="1" t="s">
        <v>60</v>
      </c>
      <c r="F56" s="5">
        <f t="shared" si="2"/>
        <v>9001.125</v>
      </c>
      <c r="I56" s="1" t="s">
        <v>60</v>
      </c>
      <c r="J56" s="4">
        <f t="shared" si="3"/>
        <v>13748.88321</v>
      </c>
      <c r="L56" s="4">
        <f t="shared" si="4"/>
        <v>4747.758213</v>
      </c>
    </row>
    <row r="57">
      <c r="E57" s="1" t="s">
        <v>61</v>
      </c>
      <c r="F57" s="5">
        <f t="shared" si="2"/>
        <v>9001.125</v>
      </c>
      <c r="I57" s="1" t="s">
        <v>61</v>
      </c>
      <c r="J57" s="4">
        <f t="shared" si="3"/>
        <v>13748.88321</v>
      </c>
      <c r="L57" s="4">
        <f t="shared" si="4"/>
        <v>4747.758213</v>
      </c>
    </row>
    <row r="58">
      <c r="E58" s="1" t="s">
        <v>62</v>
      </c>
      <c r="F58" s="5">
        <f t="shared" si="2"/>
        <v>9001.125</v>
      </c>
      <c r="I58" s="1" t="s">
        <v>62</v>
      </c>
      <c r="J58" s="4">
        <f t="shared" si="3"/>
        <v>13748.88321</v>
      </c>
      <c r="L58" s="4">
        <f t="shared" si="4"/>
        <v>4747.758213</v>
      </c>
    </row>
    <row r="59">
      <c r="E59" s="1" t="s">
        <v>63</v>
      </c>
      <c r="F59" s="5">
        <f t="shared" si="2"/>
        <v>9001.125</v>
      </c>
      <c r="I59" s="1" t="s">
        <v>63</v>
      </c>
      <c r="J59" s="4">
        <f t="shared" si="3"/>
        <v>13748.88321</v>
      </c>
      <c r="L59" s="4">
        <f t="shared" si="4"/>
        <v>4747.758213</v>
      </c>
    </row>
    <row r="60">
      <c r="E60" s="1" t="s">
        <v>64</v>
      </c>
      <c r="F60" s="5">
        <f t="shared" si="2"/>
        <v>9001.125</v>
      </c>
      <c r="I60" s="1" t="s">
        <v>64</v>
      </c>
      <c r="J60" s="4">
        <f t="shared" si="3"/>
        <v>13748.88321</v>
      </c>
      <c r="L60" s="4">
        <f t="shared" si="4"/>
        <v>4747.758213</v>
      </c>
    </row>
    <row r="61">
      <c r="E61" s="1" t="s">
        <v>65</v>
      </c>
      <c r="F61" s="5">
        <f t="shared" si="2"/>
        <v>9001.125</v>
      </c>
      <c r="I61" s="1" t="s">
        <v>65</v>
      </c>
      <c r="J61" s="4">
        <f t="shared" si="3"/>
        <v>13748.88321</v>
      </c>
      <c r="L61" s="4">
        <f t="shared" si="4"/>
        <v>4747.758213</v>
      </c>
    </row>
    <row r="62">
      <c r="E62" s="1" t="s">
        <v>66</v>
      </c>
      <c r="F62" s="5">
        <f t="shared" si="2"/>
        <v>9001.125</v>
      </c>
      <c r="I62" s="1" t="s">
        <v>66</v>
      </c>
      <c r="J62" s="4">
        <f t="shared" si="3"/>
        <v>13748.88321</v>
      </c>
      <c r="L62" s="4">
        <f t="shared" si="4"/>
        <v>4747.758213</v>
      </c>
    </row>
    <row r="63">
      <c r="E63" s="1" t="s">
        <v>67</v>
      </c>
      <c r="F63" s="5">
        <f t="shared" si="2"/>
        <v>9001.125</v>
      </c>
      <c r="I63" s="1" t="s">
        <v>67</v>
      </c>
      <c r="J63" s="4">
        <f t="shared" si="3"/>
        <v>13748.88321</v>
      </c>
      <c r="L63" s="4">
        <f t="shared" si="4"/>
        <v>4747.758213</v>
      </c>
    </row>
    <row r="64">
      <c r="E64" s="1" t="s">
        <v>68</v>
      </c>
      <c r="F64" s="5">
        <f t="shared" si="2"/>
        <v>9001.125</v>
      </c>
      <c r="I64" s="1" t="s">
        <v>68</v>
      </c>
      <c r="J64" s="4">
        <f t="shared" si="3"/>
        <v>13748.88321</v>
      </c>
      <c r="L64" s="4">
        <f t="shared" si="4"/>
        <v>4747.758213</v>
      </c>
    </row>
    <row r="65">
      <c r="E65" s="1" t="s">
        <v>69</v>
      </c>
      <c r="F65" s="5">
        <f t="shared" si="2"/>
        <v>9001.125</v>
      </c>
      <c r="I65" s="1" t="s">
        <v>69</v>
      </c>
      <c r="J65" s="4">
        <f t="shared" si="3"/>
        <v>13748.88321</v>
      </c>
      <c r="L65" s="4">
        <f t="shared" si="4"/>
        <v>4747.758213</v>
      </c>
    </row>
    <row r="66">
      <c r="E66" s="1" t="s">
        <v>70</v>
      </c>
      <c r="F66" s="5">
        <f t="shared" si="2"/>
        <v>9001.125</v>
      </c>
      <c r="I66" s="1" t="s">
        <v>70</v>
      </c>
      <c r="J66" s="4">
        <f t="shared" si="3"/>
        <v>13748.88321</v>
      </c>
      <c r="L66" s="4">
        <f t="shared" si="4"/>
        <v>4747.758213</v>
      </c>
    </row>
    <row r="67">
      <c r="E67" s="1" t="s">
        <v>71</v>
      </c>
      <c r="F67" s="5">
        <f t="shared" si="2"/>
        <v>9001.125</v>
      </c>
      <c r="I67" s="1" t="s">
        <v>71</v>
      </c>
      <c r="J67" s="4">
        <f t="shared" si="3"/>
        <v>13748.88321</v>
      </c>
      <c r="L67" s="4">
        <f t="shared" si="4"/>
        <v>4747.758213</v>
      </c>
    </row>
    <row r="68">
      <c r="E68" s="1" t="s">
        <v>72</v>
      </c>
      <c r="F68" s="5">
        <f t="shared" si="2"/>
        <v>9001.125</v>
      </c>
      <c r="I68" s="1" t="s">
        <v>72</v>
      </c>
      <c r="J68" s="4">
        <f t="shared" si="3"/>
        <v>13748.88321</v>
      </c>
      <c r="L68" s="4">
        <f t="shared" si="4"/>
        <v>4747.758213</v>
      </c>
    </row>
    <row r="69">
      <c r="E69" s="1" t="s">
        <v>73</v>
      </c>
      <c r="F69" s="5">
        <f t="shared" si="2"/>
        <v>9001.125</v>
      </c>
      <c r="I69" s="1" t="s">
        <v>73</v>
      </c>
      <c r="J69" s="4">
        <f t="shared" si="3"/>
        <v>13748.88321</v>
      </c>
      <c r="L69" s="4">
        <f t="shared" si="4"/>
        <v>4747.758213</v>
      </c>
    </row>
    <row r="70">
      <c r="E70" s="1" t="s">
        <v>74</v>
      </c>
      <c r="F70" s="5">
        <f t="shared" si="2"/>
        <v>9001.125</v>
      </c>
      <c r="I70" s="1" t="s">
        <v>74</v>
      </c>
      <c r="J70" s="4">
        <f t="shared" si="3"/>
        <v>13748.88321</v>
      </c>
      <c r="L70" s="4">
        <f t="shared" si="4"/>
        <v>4747.758213</v>
      </c>
    </row>
    <row r="71">
      <c r="E71" s="1" t="s">
        <v>75</v>
      </c>
      <c r="F71" s="5">
        <f t="shared" si="2"/>
        <v>9001.125</v>
      </c>
      <c r="I71" s="1" t="s">
        <v>75</v>
      </c>
      <c r="J71" s="4">
        <f t="shared" si="3"/>
        <v>13748.88321</v>
      </c>
      <c r="L71" s="4">
        <f t="shared" si="4"/>
        <v>4747.758213</v>
      </c>
    </row>
    <row r="72">
      <c r="E72" s="1" t="s">
        <v>76</v>
      </c>
      <c r="F72" s="5">
        <f t="shared" si="2"/>
        <v>9001.125</v>
      </c>
      <c r="I72" s="1" t="s">
        <v>76</v>
      </c>
      <c r="J72" s="4">
        <f t="shared" si="3"/>
        <v>13748.88321</v>
      </c>
      <c r="L72" s="4">
        <f t="shared" si="4"/>
        <v>4747.758213</v>
      </c>
    </row>
    <row r="73">
      <c r="E73" s="1" t="s">
        <v>77</v>
      </c>
      <c r="F73" s="5">
        <f t="shared" si="2"/>
        <v>9001.125</v>
      </c>
      <c r="I73" s="1" t="s">
        <v>77</v>
      </c>
      <c r="J73" s="4">
        <f t="shared" si="3"/>
        <v>13748.88321</v>
      </c>
      <c r="L73" s="4">
        <f t="shared" si="4"/>
        <v>4747.758213</v>
      </c>
    </row>
    <row r="74">
      <c r="E74" s="1" t="s">
        <v>78</v>
      </c>
      <c r="F74" s="5">
        <f t="shared" si="2"/>
        <v>9001.125</v>
      </c>
      <c r="I74" s="1" t="s">
        <v>78</v>
      </c>
      <c r="J74" s="4">
        <f t="shared" si="3"/>
        <v>13748.88321</v>
      </c>
      <c r="L74" s="4">
        <f t="shared" si="4"/>
        <v>4747.758213</v>
      </c>
    </row>
    <row r="75">
      <c r="E75" s="1" t="s">
        <v>79</v>
      </c>
      <c r="F75" s="5">
        <f t="shared" si="2"/>
        <v>9001.125</v>
      </c>
      <c r="I75" s="1" t="s">
        <v>79</v>
      </c>
      <c r="J75" s="4">
        <f t="shared" si="3"/>
        <v>13748.88321</v>
      </c>
      <c r="L75" s="4">
        <f t="shared" si="4"/>
        <v>4747.758213</v>
      </c>
    </row>
    <row r="76">
      <c r="E76" s="1" t="s">
        <v>80</v>
      </c>
      <c r="F76" s="5">
        <f t="shared" si="2"/>
        <v>9001.125</v>
      </c>
      <c r="I76" s="1" t="s">
        <v>80</v>
      </c>
      <c r="J76" s="4">
        <f t="shared" si="3"/>
        <v>13748.88321</v>
      </c>
      <c r="L76" s="4">
        <f t="shared" si="4"/>
        <v>4747.758213</v>
      </c>
    </row>
    <row r="77">
      <c r="E77" s="1" t="s">
        <v>81</v>
      </c>
      <c r="F77" s="5">
        <f t="shared" si="2"/>
        <v>9001.125</v>
      </c>
      <c r="I77" s="1" t="s">
        <v>81</v>
      </c>
      <c r="J77" s="4">
        <f t="shared" si="3"/>
        <v>13748.88321</v>
      </c>
      <c r="L77" s="4">
        <f t="shared" si="4"/>
        <v>4747.758213</v>
      </c>
    </row>
    <row r="78">
      <c r="E78" s="1" t="s">
        <v>82</v>
      </c>
      <c r="F78" s="5">
        <f t="shared" si="2"/>
        <v>9001.125</v>
      </c>
      <c r="I78" s="1" t="s">
        <v>82</v>
      </c>
      <c r="J78" s="4">
        <f t="shared" si="3"/>
        <v>13748.88321</v>
      </c>
      <c r="L78" s="4">
        <f t="shared" si="4"/>
        <v>4747.758213</v>
      </c>
    </row>
    <row r="79">
      <c r="E79" s="1" t="s">
        <v>83</v>
      </c>
      <c r="F79" s="5">
        <f t="shared" si="2"/>
        <v>9001.125</v>
      </c>
      <c r="I79" s="1" t="s">
        <v>83</v>
      </c>
      <c r="J79" s="4">
        <f t="shared" si="3"/>
        <v>13748.88321</v>
      </c>
      <c r="L79" s="4">
        <f t="shared" si="4"/>
        <v>4747.758213</v>
      </c>
    </row>
    <row r="80">
      <c r="E80" s="1" t="s">
        <v>84</v>
      </c>
      <c r="F80" s="5">
        <f t="shared" si="2"/>
        <v>9001.125</v>
      </c>
      <c r="I80" s="1" t="s">
        <v>84</v>
      </c>
      <c r="J80" s="4">
        <f t="shared" si="3"/>
        <v>13748.88321</v>
      </c>
      <c r="L80" s="4">
        <f t="shared" si="4"/>
        <v>4747.758213</v>
      </c>
    </row>
    <row r="81">
      <c r="E81" s="1" t="s">
        <v>85</v>
      </c>
      <c r="F81" s="5">
        <f t="shared" si="2"/>
        <v>9001.125</v>
      </c>
      <c r="I81" s="1" t="s">
        <v>85</v>
      </c>
      <c r="J81" s="4">
        <f t="shared" si="3"/>
        <v>13748.88321</v>
      </c>
      <c r="L81" s="4">
        <f t="shared" si="4"/>
        <v>4747.758213</v>
      </c>
    </row>
    <row r="82">
      <c r="E82" s="1" t="s">
        <v>86</v>
      </c>
      <c r="F82" s="5">
        <f t="shared" si="2"/>
        <v>9001.125</v>
      </c>
      <c r="I82" s="1" t="s">
        <v>86</v>
      </c>
      <c r="J82" s="4">
        <f t="shared" si="3"/>
        <v>13748.88321</v>
      </c>
      <c r="L82" s="4">
        <f t="shared" si="4"/>
        <v>4747.758213</v>
      </c>
    </row>
    <row r="83">
      <c r="E83" s="1" t="s">
        <v>87</v>
      </c>
      <c r="F83" s="5">
        <f t="shared" si="2"/>
        <v>9001.125</v>
      </c>
      <c r="I83" s="1" t="s">
        <v>87</v>
      </c>
      <c r="J83" s="5">
        <f t="shared" ref="J83:J142" si="5">$J$14</f>
        <v>6482.216546</v>
      </c>
      <c r="L83" s="5">
        <f t="shared" si="4"/>
        <v>-2518.908454</v>
      </c>
    </row>
    <row r="84">
      <c r="E84" s="1" t="s">
        <v>88</v>
      </c>
      <c r="F84" s="5">
        <f t="shared" si="2"/>
        <v>9001.125</v>
      </c>
      <c r="I84" s="1" t="s">
        <v>88</v>
      </c>
      <c r="J84" s="5">
        <f t="shared" si="5"/>
        <v>6482.216546</v>
      </c>
      <c r="L84" s="5">
        <f t="shared" si="4"/>
        <v>-2518.908454</v>
      </c>
    </row>
    <row r="85">
      <c r="E85" s="1" t="s">
        <v>89</v>
      </c>
      <c r="F85" s="5">
        <f t="shared" si="2"/>
        <v>9001.125</v>
      </c>
      <c r="I85" s="1" t="s">
        <v>89</v>
      </c>
      <c r="J85" s="5">
        <f t="shared" si="5"/>
        <v>6482.216546</v>
      </c>
      <c r="L85" s="5">
        <f t="shared" si="4"/>
        <v>-2518.908454</v>
      </c>
    </row>
    <row r="86">
      <c r="E86" s="1" t="s">
        <v>90</v>
      </c>
      <c r="F86" s="5">
        <f t="shared" si="2"/>
        <v>9001.125</v>
      </c>
      <c r="I86" s="1" t="s">
        <v>90</v>
      </c>
      <c r="J86" s="5">
        <f t="shared" si="5"/>
        <v>6482.216546</v>
      </c>
      <c r="L86" s="5">
        <f t="shared" si="4"/>
        <v>-2518.908454</v>
      </c>
    </row>
    <row r="87">
      <c r="E87" s="1" t="s">
        <v>91</v>
      </c>
      <c r="F87" s="5">
        <f t="shared" si="2"/>
        <v>9001.125</v>
      </c>
      <c r="I87" s="1" t="s">
        <v>91</v>
      </c>
      <c r="J87" s="5">
        <f t="shared" si="5"/>
        <v>6482.216546</v>
      </c>
      <c r="L87" s="5">
        <f t="shared" si="4"/>
        <v>-2518.908454</v>
      </c>
    </row>
    <row r="88">
      <c r="E88" s="1" t="s">
        <v>92</v>
      </c>
      <c r="F88" s="5">
        <f t="shared" si="2"/>
        <v>9001.125</v>
      </c>
      <c r="I88" s="1" t="s">
        <v>92</v>
      </c>
      <c r="J88" s="5">
        <f t="shared" si="5"/>
        <v>6482.216546</v>
      </c>
      <c r="L88" s="5">
        <f t="shared" si="4"/>
        <v>-2518.908454</v>
      </c>
    </row>
    <row r="89">
      <c r="E89" s="1" t="s">
        <v>93</v>
      </c>
      <c r="F89" s="5">
        <f t="shared" si="2"/>
        <v>9001.125</v>
      </c>
      <c r="I89" s="1" t="s">
        <v>93</v>
      </c>
      <c r="J89" s="5">
        <f t="shared" si="5"/>
        <v>6482.216546</v>
      </c>
      <c r="L89" s="5">
        <f t="shared" si="4"/>
        <v>-2518.908454</v>
      </c>
    </row>
    <row r="90">
      <c r="E90" s="1" t="s">
        <v>94</v>
      </c>
      <c r="F90" s="5">
        <f t="shared" si="2"/>
        <v>9001.125</v>
      </c>
      <c r="I90" s="1" t="s">
        <v>94</v>
      </c>
      <c r="J90" s="5">
        <f t="shared" si="5"/>
        <v>6482.216546</v>
      </c>
      <c r="L90" s="5">
        <f t="shared" si="4"/>
        <v>-2518.908454</v>
      </c>
    </row>
    <row r="91">
      <c r="E91" s="1" t="s">
        <v>95</v>
      </c>
      <c r="F91" s="5">
        <f t="shared" si="2"/>
        <v>9001.125</v>
      </c>
      <c r="I91" s="1" t="s">
        <v>95</v>
      </c>
      <c r="J91" s="5">
        <f t="shared" si="5"/>
        <v>6482.216546</v>
      </c>
      <c r="L91" s="5">
        <f t="shared" si="4"/>
        <v>-2518.908454</v>
      </c>
    </row>
    <row r="92">
      <c r="E92" s="1" t="s">
        <v>96</v>
      </c>
      <c r="F92" s="5">
        <f t="shared" si="2"/>
        <v>9001.125</v>
      </c>
      <c r="I92" s="1" t="s">
        <v>96</v>
      </c>
      <c r="J92" s="5">
        <f t="shared" si="5"/>
        <v>6482.216546</v>
      </c>
      <c r="L92" s="5">
        <f t="shared" si="4"/>
        <v>-2518.908454</v>
      </c>
    </row>
    <row r="93">
      <c r="E93" s="1" t="s">
        <v>97</v>
      </c>
      <c r="F93" s="5">
        <f t="shared" si="2"/>
        <v>9001.125</v>
      </c>
      <c r="I93" s="1" t="s">
        <v>97</v>
      </c>
      <c r="J93" s="5">
        <f t="shared" si="5"/>
        <v>6482.216546</v>
      </c>
      <c r="L93" s="5">
        <f t="shared" si="4"/>
        <v>-2518.908454</v>
      </c>
    </row>
    <row r="94">
      <c r="E94" s="1" t="s">
        <v>98</v>
      </c>
      <c r="F94" s="5">
        <f t="shared" si="2"/>
        <v>9001.125</v>
      </c>
      <c r="I94" s="1" t="s">
        <v>98</v>
      </c>
      <c r="J94" s="5">
        <f t="shared" si="5"/>
        <v>6482.216546</v>
      </c>
      <c r="L94" s="5">
        <f t="shared" si="4"/>
        <v>-2518.908454</v>
      </c>
    </row>
    <row r="95">
      <c r="E95" s="1" t="s">
        <v>99</v>
      </c>
      <c r="F95" s="5">
        <f t="shared" si="2"/>
        <v>9001.125</v>
      </c>
      <c r="I95" s="1" t="s">
        <v>99</v>
      </c>
      <c r="J95" s="5">
        <f t="shared" si="5"/>
        <v>6482.216546</v>
      </c>
      <c r="L95" s="5">
        <f t="shared" si="4"/>
        <v>-2518.908454</v>
      </c>
    </row>
    <row r="96">
      <c r="E96" s="1" t="s">
        <v>100</v>
      </c>
      <c r="F96" s="5">
        <f t="shared" si="2"/>
        <v>9001.125</v>
      </c>
      <c r="I96" s="1" t="s">
        <v>100</v>
      </c>
      <c r="J96" s="5">
        <f t="shared" si="5"/>
        <v>6482.216546</v>
      </c>
      <c r="L96" s="5">
        <f t="shared" si="4"/>
        <v>-2518.908454</v>
      </c>
    </row>
    <row r="97">
      <c r="E97" s="1" t="s">
        <v>101</v>
      </c>
      <c r="F97" s="5">
        <f t="shared" si="2"/>
        <v>9001.125</v>
      </c>
      <c r="I97" s="1" t="s">
        <v>101</v>
      </c>
      <c r="J97" s="5">
        <f t="shared" si="5"/>
        <v>6482.216546</v>
      </c>
      <c r="L97" s="5">
        <f t="shared" si="4"/>
        <v>-2518.908454</v>
      </c>
    </row>
    <row r="98">
      <c r="E98" s="1" t="s">
        <v>102</v>
      </c>
      <c r="F98" s="5">
        <f t="shared" si="2"/>
        <v>9001.125</v>
      </c>
      <c r="I98" s="1" t="s">
        <v>102</v>
      </c>
      <c r="J98" s="5">
        <f t="shared" si="5"/>
        <v>6482.216546</v>
      </c>
      <c r="L98" s="5">
        <f t="shared" si="4"/>
        <v>-2518.908454</v>
      </c>
    </row>
    <row r="99">
      <c r="E99" s="1" t="s">
        <v>103</v>
      </c>
      <c r="F99" s="5">
        <f t="shared" si="2"/>
        <v>9001.125</v>
      </c>
      <c r="I99" s="1" t="s">
        <v>103</v>
      </c>
      <c r="J99" s="5">
        <f t="shared" si="5"/>
        <v>6482.216546</v>
      </c>
      <c r="L99" s="5">
        <f t="shared" si="4"/>
        <v>-2518.908454</v>
      </c>
    </row>
    <row r="100">
      <c r="E100" s="1" t="s">
        <v>104</v>
      </c>
      <c r="F100" s="5">
        <f t="shared" si="2"/>
        <v>9001.125</v>
      </c>
      <c r="I100" s="1" t="s">
        <v>104</v>
      </c>
      <c r="J100" s="5">
        <f t="shared" si="5"/>
        <v>6482.216546</v>
      </c>
      <c r="L100" s="5">
        <f t="shared" si="4"/>
        <v>-2518.908454</v>
      </c>
    </row>
    <row r="101">
      <c r="E101" s="1" t="s">
        <v>105</v>
      </c>
      <c r="F101" s="5">
        <f t="shared" si="2"/>
        <v>9001.125</v>
      </c>
      <c r="I101" s="1" t="s">
        <v>105</v>
      </c>
      <c r="J101" s="5">
        <f t="shared" si="5"/>
        <v>6482.216546</v>
      </c>
      <c r="L101" s="5">
        <f t="shared" si="4"/>
        <v>-2518.908454</v>
      </c>
    </row>
    <row r="102">
      <c r="E102" s="1" t="s">
        <v>106</v>
      </c>
      <c r="F102" s="5">
        <f t="shared" si="2"/>
        <v>9001.125</v>
      </c>
      <c r="I102" s="1" t="s">
        <v>106</v>
      </c>
      <c r="J102" s="5">
        <f t="shared" si="5"/>
        <v>6482.216546</v>
      </c>
      <c r="L102" s="5">
        <f t="shared" si="4"/>
        <v>-2518.908454</v>
      </c>
    </row>
    <row r="103">
      <c r="E103" s="1" t="s">
        <v>107</v>
      </c>
      <c r="F103" s="5">
        <f t="shared" si="2"/>
        <v>9001.125</v>
      </c>
      <c r="I103" s="1" t="s">
        <v>107</v>
      </c>
      <c r="J103" s="5">
        <f t="shared" si="5"/>
        <v>6482.216546</v>
      </c>
      <c r="L103" s="5">
        <f t="shared" si="4"/>
        <v>-2518.908454</v>
      </c>
    </row>
    <row r="104">
      <c r="E104" s="1" t="s">
        <v>108</v>
      </c>
      <c r="F104" s="5">
        <f t="shared" si="2"/>
        <v>9001.125</v>
      </c>
      <c r="I104" s="1" t="s">
        <v>108</v>
      </c>
      <c r="J104" s="5">
        <f t="shared" si="5"/>
        <v>6482.216546</v>
      </c>
      <c r="L104" s="5">
        <f t="shared" si="4"/>
        <v>-2518.908454</v>
      </c>
    </row>
    <row r="105">
      <c r="E105" s="1" t="s">
        <v>109</v>
      </c>
      <c r="F105" s="5">
        <f t="shared" si="2"/>
        <v>9001.125</v>
      </c>
      <c r="I105" s="1" t="s">
        <v>109</v>
      </c>
      <c r="J105" s="5">
        <f t="shared" si="5"/>
        <v>6482.216546</v>
      </c>
      <c r="L105" s="5">
        <f t="shared" si="4"/>
        <v>-2518.908454</v>
      </c>
    </row>
    <row r="106">
      <c r="E106" s="1" t="s">
        <v>110</v>
      </c>
      <c r="F106" s="5">
        <f t="shared" si="2"/>
        <v>9001.125</v>
      </c>
      <c r="I106" s="1" t="s">
        <v>110</v>
      </c>
      <c r="J106" s="5">
        <f t="shared" si="5"/>
        <v>6482.216546</v>
      </c>
      <c r="L106" s="5">
        <f t="shared" si="4"/>
        <v>-2518.908454</v>
      </c>
    </row>
    <row r="107">
      <c r="E107" s="1" t="s">
        <v>111</v>
      </c>
      <c r="F107" s="5">
        <f t="shared" si="2"/>
        <v>9001.125</v>
      </c>
      <c r="I107" s="1" t="s">
        <v>111</v>
      </c>
      <c r="J107" s="5">
        <f t="shared" si="5"/>
        <v>6482.216546</v>
      </c>
      <c r="L107" s="5">
        <f t="shared" si="4"/>
        <v>-2518.908454</v>
      </c>
    </row>
    <row r="108">
      <c r="E108" s="1" t="s">
        <v>112</v>
      </c>
      <c r="F108" s="5">
        <f t="shared" si="2"/>
        <v>9001.125</v>
      </c>
      <c r="I108" s="1" t="s">
        <v>112</v>
      </c>
      <c r="J108" s="5">
        <f t="shared" si="5"/>
        <v>6482.216546</v>
      </c>
      <c r="L108" s="5">
        <f t="shared" si="4"/>
        <v>-2518.908454</v>
      </c>
    </row>
    <row r="109">
      <c r="E109" s="1" t="s">
        <v>113</v>
      </c>
      <c r="F109" s="5">
        <f t="shared" si="2"/>
        <v>9001.125</v>
      </c>
      <c r="I109" s="1" t="s">
        <v>113</v>
      </c>
      <c r="J109" s="5">
        <f t="shared" si="5"/>
        <v>6482.216546</v>
      </c>
      <c r="L109" s="5">
        <f t="shared" si="4"/>
        <v>-2518.908454</v>
      </c>
    </row>
    <row r="110">
      <c r="E110" s="1" t="s">
        <v>114</v>
      </c>
      <c r="F110" s="5">
        <f t="shared" si="2"/>
        <v>9001.125</v>
      </c>
      <c r="I110" s="1" t="s">
        <v>114</v>
      </c>
      <c r="J110" s="5">
        <f t="shared" si="5"/>
        <v>6482.216546</v>
      </c>
      <c r="L110" s="5">
        <f t="shared" si="4"/>
        <v>-2518.908454</v>
      </c>
    </row>
    <row r="111">
      <c r="E111" s="1" t="s">
        <v>115</v>
      </c>
      <c r="F111" s="5">
        <f t="shared" si="2"/>
        <v>9001.125</v>
      </c>
      <c r="I111" s="1" t="s">
        <v>115</v>
      </c>
      <c r="J111" s="5">
        <f t="shared" si="5"/>
        <v>6482.216546</v>
      </c>
      <c r="L111" s="5">
        <f t="shared" si="4"/>
        <v>-2518.908454</v>
      </c>
    </row>
    <row r="112">
      <c r="E112" s="1" t="s">
        <v>116</v>
      </c>
      <c r="F112" s="5">
        <f t="shared" si="2"/>
        <v>9001.125</v>
      </c>
      <c r="I112" s="1" t="s">
        <v>116</v>
      </c>
      <c r="J112" s="5">
        <f t="shared" si="5"/>
        <v>6482.216546</v>
      </c>
      <c r="L112" s="5">
        <f t="shared" si="4"/>
        <v>-2518.908454</v>
      </c>
    </row>
    <row r="113">
      <c r="E113" s="1" t="s">
        <v>117</v>
      </c>
      <c r="F113" s="5">
        <f t="shared" si="2"/>
        <v>9001.125</v>
      </c>
      <c r="I113" s="1" t="s">
        <v>117</v>
      </c>
      <c r="J113" s="5">
        <f t="shared" si="5"/>
        <v>6482.216546</v>
      </c>
      <c r="L113" s="5">
        <f t="shared" si="4"/>
        <v>-2518.908454</v>
      </c>
    </row>
    <row r="114">
      <c r="E114" s="1" t="s">
        <v>118</v>
      </c>
      <c r="F114" s="5">
        <f t="shared" si="2"/>
        <v>9001.125</v>
      </c>
      <c r="I114" s="1" t="s">
        <v>118</v>
      </c>
      <c r="J114" s="5">
        <f t="shared" si="5"/>
        <v>6482.216546</v>
      </c>
      <c r="L114" s="5">
        <f t="shared" si="4"/>
        <v>-2518.908454</v>
      </c>
    </row>
    <row r="115">
      <c r="E115" s="1" t="s">
        <v>119</v>
      </c>
      <c r="F115" s="5">
        <f t="shared" si="2"/>
        <v>9001.125</v>
      </c>
      <c r="I115" s="1" t="s">
        <v>119</v>
      </c>
      <c r="J115" s="5">
        <f t="shared" si="5"/>
        <v>6482.216546</v>
      </c>
      <c r="L115" s="5">
        <f t="shared" si="4"/>
        <v>-2518.908454</v>
      </c>
    </row>
    <row r="116">
      <c r="E116" s="1" t="s">
        <v>120</v>
      </c>
      <c r="F116" s="5">
        <f t="shared" si="2"/>
        <v>9001.125</v>
      </c>
      <c r="I116" s="1" t="s">
        <v>120</v>
      </c>
      <c r="J116" s="5">
        <f t="shared" si="5"/>
        <v>6482.216546</v>
      </c>
      <c r="L116" s="5">
        <f t="shared" si="4"/>
        <v>-2518.908454</v>
      </c>
    </row>
    <row r="117">
      <c r="E117" s="1" t="s">
        <v>121</v>
      </c>
      <c r="F117" s="5">
        <f t="shared" si="2"/>
        <v>9001.125</v>
      </c>
      <c r="I117" s="1" t="s">
        <v>121</v>
      </c>
      <c r="J117" s="5">
        <f t="shared" si="5"/>
        <v>6482.216546</v>
      </c>
      <c r="L117" s="5">
        <f t="shared" si="4"/>
        <v>-2518.908454</v>
      </c>
    </row>
    <row r="118">
      <c r="E118" s="1" t="s">
        <v>122</v>
      </c>
      <c r="F118" s="5">
        <f t="shared" si="2"/>
        <v>9001.125</v>
      </c>
      <c r="I118" s="1" t="s">
        <v>122</v>
      </c>
      <c r="J118" s="5">
        <f t="shared" si="5"/>
        <v>6482.216546</v>
      </c>
      <c r="L118" s="5">
        <f t="shared" si="4"/>
        <v>-2518.908454</v>
      </c>
    </row>
    <row r="119">
      <c r="E119" s="1" t="s">
        <v>123</v>
      </c>
      <c r="F119" s="5">
        <f t="shared" si="2"/>
        <v>9001.125</v>
      </c>
      <c r="I119" s="1" t="s">
        <v>123</v>
      </c>
      <c r="J119" s="5">
        <f t="shared" si="5"/>
        <v>6482.216546</v>
      </c>
      <c r="L119" s="5">
        <f t="shared" si="4"/>
        <v>-2518.908454</v>
      </c>
    </row>
    <row r="120">
      <c r="E120" s="1" t="s">
        <v>124</v>
      </c>
      <c r="F120" s="5">
        <f t="shared" si="2"/>
        <v>9001.125</v>
      </c>
      <c r="I120" s="1" t="s">
        <v>124</v>
      </c>
      <c r="J120" s="5">
        <f t="shared" si="5"/>
        <v>6482.216546</v>
      </c>
      <c r="L120" s="5">
        <f t="shared" si="4"/>
        <v>-2518.908454</v>
      </c>
    </row>
    <row r="121">
      <c r="E121" s="1" t="s">
        <v>125</v>
      </c>
      <c r="F121" s="5">
        <f t="shared" si="2"/>
        <v>9001.125</v>
      </c>
      <c r="I121" s="1" t="s">
        <v>125</v>
      </c>
      <c r="J121" s="5">
        <f t="shared" si="5"/>
        <v>6482.216546</v>
      </c>
      <c r="L121" s="5">
        <f t="shared" si="4"/>
        <v>-2518.908454</v>
      </c>
    </row>
    <row r="122">
      <c r="E122" s="1" t="s">
        <v>126</v>
      </c>
      <c r="F122" s="5">
        <f t="shared" si="2"/>
        <v>9001.125</v>
      </c>
      <c r="I122" s="1" t="s">
        <v>126</v>
      </c>
      <c r="J122" s="5">
        <f t="shared" si="5"/>
        <v>6482.216546</v>
      </c>
      <c r="L122" s="5">
        <f t="shared" si="4"/>
        <v>-2518.908454</v>
      </c>
    </row>
    <row r="123">
      <c r="E123" s="1" t="s">
        <v>127</v>
      </c>
      <c r="F123" s="5">
        <f t="shared" si="2"/>
        <v>9001.125</v>
      </c>
      <c r="I123" s="1" t="s">
        <v>127</v>
      </c>
      <c r="J123" s="5">
        <f t="shared" si="5"/>
        <v>6482.216546</v>
      </c>
      <c r="L123" s="5">
        <f t="shared" si="4"/>
        <v>-2518.908454</v>
      </c>
    </row>
    <row r="124">
      <c r="E124" s="1" t="s">
        <v>128</v>
      </c>
      <c r="F124" s="5">
        <f t="shared" si="2"/>
        <v>9001.125</v>
      </c>
      <c r="I124" s="1" t="s">
        <v>128</v>
      </c>
      <c r="J124" s="5">
        <f t="shared" si="5"/>
        <v>6482.216546</v>
      </c>
      <c r="L124" s="5">
        <f t="shared" si="4"/>
        <v>-2518.908454</v>
      </c>
    </row>
    <row r="125">
      <c r="E125" s="1" t="s">
        <v>129</v>
      </c>
      <c r="F125" s="5">
        <f t="shared" si="2"/>
        <v>9001.125</v>
      </c>
      <c r="I125" s="1" t="s">
        <v>129</v>
      </c>
      <c r="J125" s="5">
        <f t="shared" si="5"/>
        <v>6482.216546</v>
      </c>
      <c r="L125" s="5">
        <f t="shared" si="4"/>
        <v>-2518.908454</v>
      </c>
    </row>
    <row r="126">
      <c r="E126" s="1" t="s">
        <v>130</v>
      </c>
      <c r="F126" s="5">
        <f t="shared" si="2"/>
        <v>9001.125</v>
      </c>
      <c r="I126" s="1" t="s">
        <v>130</v>
      </c>
      <c r="J126" s="5">
        <f t="shared" si="5"/>
        <v>6482.216546</v>
      </c>
      <c r="L126" s="5">
        <f t="shared" si="4"/>
        <v>-2518.908454</v>
      </c>
    </row>
    <row r="127">
      <c r="E127" s="1" t="s">
        <v>131</v>
      </c>
      <c r="F127" s="5">
        <f t="shared" si="2"/>
        <v>9001.125</v>
      </c>
      <c r="I127" s="1" t="s">
        <v>131</v>
      </c>
      <c r="J127" s="5">
        <f t="shared" si="5"/>
        <v>6482.216546</v>
      </c>
      <c r="L127" s="5">
        <f t="shared" si="4"/>
        <v>-2518.908454</v>
      </c>
    </row>
    <row r="128">
      <c r="E128" s="1" t="s">
        <v>132</v>
      </c>
      <c r="F128" s="5">
        <f t="shared" si="2"/>
        <v>9001.125</v>
      </c>
      <c r="I128" s="1" t="s">
        <v>132</v>
      </c>
      <c r="J128" s="5">
        <f t="shared" si="5"/>
        <v>6482.216546</v>
      </c>
      <c r="L128" s="5">
        <f t="shared" si="4"/>
        <v>-2518.908454</v>
      </c>
    </row>
    <row r="129">
      <c r="E129" s="1" t="s">
        <v>133</v>
      </c>
      <c r="F129" s="5">
        <f t="shared" si="2"/>
        <v>9001.125</v>
      </c>
      <c r="I129" s="1" t="s">
        <v>133</v>
      </c>
      <c r="J129" s="5">
        <f t="shared" si="5"/>
        <v>6482.216546</v>
      </c>
      <c r="L129" s="5">
        <f t="shared" si="4"/>
        <v>-2518.908454</v>
      </c>
    </row>
    <row r="130">
      <c r="E130" s="1" t="s">
        <v>134</v>
      </c>
      <c r="F130" s="5">
        <f t="shared" si="2"/>
        <v>9001.125</v>
      </c>
      <c r="I130" s="1" t="s">
        <v>134</v>
      </c>
      <c r="J130" s="5">
        <f t="shared" si="5"/>
        <v>6482.216546</v>
      </c>
      <c r="L130" s="5">
        <f t="shared" si="4"/>
        <v>-2518.908454</v>
      </c>
    </row>
    <row r="131">
      <c r="E131" s="1" t="s">
        <v>135</v>
      </c>
      <c r="F131" s="5">
        <f t="shared" si="2"/>
        <v>9001.125</v>
      </c>
      <c r="I131" s="1" t="s">
        <v>135</v>
      </c>
      <c r="J131" s="5">
        <f t="shared" si="5"/>
        <v>6482.216546</v>
      </c>
      <c r="L131" s="5">
        <f t="shared" si="4"/>
        <v>-2518.908454</v>
      </c>
    </row>
    <row r="132">
      <c r="E132" s="1" t="s">
        <v>136</v>
      </c>
      <c r="F132" s="5">
        <f t="shared" si="2"/>
        <v>9001.125</v>
      </c>
      <c r="I132" s="1" t="s">
        <v>136</v>
      </c>
      <c r="J132" s="5">
        <f t="shared" si="5"/>
        <v>6482.216546</v>
      </c>
      <c r="L132" s="5">
        <f t="shared" si="4"/>
        <v>-2518.908454</v>
      </c>
    </row>
    <row r="133">
      <c r="E133" s="1" t="s">
        <v>137</v>
      </c>
      <c r="F133" s="5">
        <f t="shared" si="2"/>
        <v>9001.125</v>
      </c>
      <c r="I133" s="1" t="s">
        <v>137</v>
      </c>
      <c r="J133" s="5">
        <f t="shared" si="5"/>
        <v>6482.216546</v>
      </c>
      <c r="L133" s="5">
        <f t="shared" si="4"/>
        <v>-2518.908454</v>
      </c>
    </row>
    <row r="134">
      <c r="E134" s="1" t="s">
        <v>138</v>
      </c>
      <c r="F134" s="5">
        <f t="shared" si="2"/>
        <v>9001.125</v>
      </c>
      <c r="I134" s="1" t="s">
        <v>138</v>
      </c>
      <c r="J134" s="5">
        <f t="shared" si="5"/>
        <v>6482.216546</v>
      </c>
      <c r="L134" s="5">
        <f t="shared" si="4"/>
        <v>-2518.908454</v>
      </c>
    </row>
    <row r="135">
      <c r="E135" s="1" t="s">
        <v>139</v>
      </c>
      <c r="F135" s="5">
        <f t="shared" si="2"/>
        <v>9001.125</v>
      </c>
      <c r="I135" s="1" t="s">
        <v>139</v>
      </c>
      <c r="J135" s="5">
        <f t="shared" si="5"/>
        <v>6482.216546</v>
      </c>
      <c r="L135" s="5">
        <f t="shared" si="4"/>
        <v>-2518.908454</v>
      </c>
    </row>
    <row r="136">
      <c r="E136" s="1" t="s">
        <v>140</v>
      </c>
      <c r="F136" s="5">
        <f t="shared" si="2"/>
        <v>9001.125</v>
      </c>
      <c r="I136" s="1" t="s">
        <v>140</v>
      </c>
      <c r="J136" s="5">
        <f t="shared" si="5"/>
        <v>6482.216546</v>
      </c>
      <c r="L136" s="5">
        <f t="shared" si="4"/>
        <v>-2518.908454</v>
      </c>
    </row>
    <row r="137">
      <c r="E137" s="1" t="s">
        <v>141</v>
      </c>
      <c r="F137" s="5">
        <f t="shared" si="2"/>
        <v>9001.125</v>
      </c>
      <c r="I137" s="1" t="s">
        <v>141</v>
      </c>
      <c r="J137" s="5">
        <f t="shared" si="5"/>
        <v>6482.216546</v>
      </c>
      <c r="L137" s="5">
        <f t="shared" si="4"/>
        <v>-2518.908454</v>
      </c>
    </row>
    <row r="138">
      <c r="E138" s="1" t="s">
        <v>142</v>
      </c>
      <c r="F138" s="5">
        <f t="shared" si="2"/>
        <v>9001.125</v>
      </c>
      <c r="I138" s="1" t="s">
        <v>142</v>
      </c>
      <c r="J138" s="5">
        <f t="shared" si="5"/>
        <v>6482.216546</v>
      </c>
      <c r="L138" s="5">
        <f t="shared" si="4"/>
        <v>-2518.908454</v>
      </c>
    </row>
    <row r="139">
      <c r="E139" s="1" t="s">
        <v>143</v>
      </c>
      <c r="F139" s="5">
        <f t="shared" si="2"/>
        <v>9001.125</v>
      </c>
      <c r="I139" s="1" t="s">
        <v>143</v>
      </c>
      <c r="J139" s="5">
        <f t="shared" si="5"/>
        <v>6482.216546</v>
      </c>
      <c r="L139" s="5">
        <f t="shared" si="4"/>
        <v>-2518.908454</v>
      </c>
    </row>
    <row r="140">
      <c r="E140" s="1" t="s">
        <v>144</v>
      </c>
      <c r="F140" s="5">
        <f t="shared" si="2"/>
        <v>9001.125</v>
      </c>
      <c r="I140" s="1" t="s">
        <v>144</v>
      </c>
      <c r="J140" s="5">
        <f t="shared" si="5"/>
        <v>6482.216546</v>
      </c>
      <c r="L140" s="5">
        <f t="shared" si="4"/>
        <v>-2518.908454</v>
      </c>
    </row>
    <row r="141">
      <c r="E141" s="1" t="s">
        <v>145</v>
      </c>
      <c r="F141" s="5">
        <f t="shared" si="2"/>
        <v>9001.125</v>
      </c>
      <c r="I141" s="1" t="s">
        <v>145</v>
      </c>
      <c r="J141" s="5">
        <f t="shared" si="5"/>
        <v>6482.216546</v>
      </c>
      <c r="L141" s="5">
        <f t="shared" si="4"/>
        <v>-2518.908454</v>
      </c>
    </row>
    <row r="142">
      <c r="E142" s="1" t="s">
        <v>146</v>
      </c>
      <c r="F142" s="5">
        <f t="shared" si="2"/>
        <v>9001.125</v>
      </c>
      <c r="I142" s="1" t="s">
        <v>146</v>
      </c>
      <c r="J142" s="5">
        <f t="shared" si="5"/>
        <v>6482.216546</v>
      </c>
      <c r="L142" s="5">
        <f t="shared" si="4"/>
        <v>-2518.908454</v>
      </c>
    </row>
    <row r="143">
      <c r="E143" s="1" t="s">
        <v>147</v>
      </c>
      <c r="F143" s="5">
        <f>SUM(F23:F142)</f>
        <v>1080135</v>
      </c>
      <c r="I143" s="1" t="s">
        <v>147</v>
      </c>
      <c r="J143" s="4">
        <f>SUM(J23:J142)</f>
        <v>1213865.986</v>
      </c>
      <c r="L143" s="4">
        <f t="shared" si="4"/>
        <v>133730.9855</v>
      </c>
    </row>
  </sheetData>
  <drawing r:id="rId1"/>
</worksheet>
</file>